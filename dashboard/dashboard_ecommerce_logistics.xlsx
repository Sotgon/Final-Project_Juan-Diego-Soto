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khsecurity-my.sharepoint.com/personal/j_soto_tkhsecurity_com/Documents/Documentos/TKH/JD/thePower/10. Proyecto final/"/>
    </mc:Choice>
  </mc:AlternateContent>
  <xr:revisionPtr revIDLastSave="17" documentId="11_69644D73FC4F3592631C2DE9A4726A6B59695E6B" xr6:coauthVersionLast="47" xr6:coauthVersionMax="47" xr10:uidLastSave="{7E7D9CFF-9F4A-4D3F-8481-EF57C727CB05}"/>
  <bookViews>
    <workbookView xWindow="28680" yWindow="-3645" windowWidth="51840" windowHeight="21120" tabRatio="500" activeTab="2" xr2:uid="{00000000-000D-0000-FFFF-FFFF00000000}"/>
  </bookViews>
  <sheets>
    <sheet name="Resumen Ejecutivo" sheetId="1" r:id="rId1"/>
    <sheet name="Análisis Logística" sheetId="2" r:id="rId2"/>
    <sheet name="Tendencia Temporal" sheetId="3" r:id="rId3"/>
    <sheet name="DATOS_Olist_Mensual" sheetId="4" r:id="rId4"/>
    <sheet name="DATOS_Categorías" sheetId="5" r:id="rId5"/>
    <sheet name="DATOS_Logística" sheetId="6" r:id="rId6"/>
    <sheet name="DATOS_Pagos_Status" sheetId="7" r:id="rId7"/>
    <sheet name="DATOS_DataC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2" l="1"/>
  <c r="E28" i="2"/>
  <c r="D28" i="2"/>
  <c r="C28" i="2"/>
  <c r="B28" i="2"/>
  <c r="A28" i="2"/>
  <c r="F27" i="2"/>
  <c r="E27" i="2"/>
  <c r="D27" i="2"/>
  <c r="C27" i="2"/>
  <c r="B27" i="2"/>
  <c r="A27" i="2"/>
  <c r="F26" i="2"/>
  <c r="E26" i="2"/>
  <c r="D26" i="2"/>
  <c r="C26" i="2"/>
  <c r="B26" i="2"/>
  <c r="A26" i="2"/>
  <c r="F25" i="2"/>
  <c r="E25" i="2"/>
  <c r="D25" i="2"/>
  <c r="C25" i="2"/>
  <c r="B25" i="2"/>
  <c r="A25" i="2"/>
  <c r="F24" i="2"/>
  <c r="E24" i="2"/>
  <c r="D24" i="2"/>
  <c r="C24" i="2"/>
  <c r="B24" i="2"/>
  <c r="A24" i="2"/>
  <c r="F23" i="2"/>
  <c r="E23" i="2"/>
  <c r="D23" i="2"/>
  <c r="C23" i="2"/>
  <c r="B23" i="2"/>
  <c r="A23" i="2"/>
  <c r="F22" i="2"/>
  <c r="E22" i="2"/>
  <c r="D22" i="2"/>
  <c r="C22" i="2"/>
  <c r="B22" i="2"/>
  <c r="A22" i="2"/>
  <c r="F21" i="2"/>
  <c r="E21" i="2"/>
  <c r="D21" i="2"/>
  <c r="C21" i="2"/>
  <c r="B21" i="2"/>
  <c r="A21" i="2"/>
  <c r="F20" i="2"/>
  <c r="E20" i="2"/>
  <c r="D20" i="2"/>
  <c r="C20" i="2"/>
  <c r="B20" i="2"/>
  <c r="A20" i="2"/>
  <c r="F19" i="2"/>
  <c r="E19" i="2"/>
  <c r="D19" i="2"/>
  <c r="C19" i="2"/>
  <c r="B19" i="2"/>
  <c r="A19" i="2"/>
  <c r="F18" i="2"/>
  <c r="E18" i="2"/>
  <c r="D18" i="2"/>
  <c r="C18" i="2"/>
  <c r="B18" i="2"/>
  <c r="A18" i="2"/>
  <c r="F17" i="2"/>
  <c r="E17" i="2"/>
  <c r="D17" i="2"/>
  <c r="C17" i="2"/>
  <c r="B17" i="2"/>
  <c r="A17" i="2"/>
  <c r="F16" i="2"/>
  <c r="E16" i="2"/>
  <c r="D16" i="2"/>
  <c r="C16" i="2"/>
  <c r="B16" i="2"/>
  <c r="A16" i="2"/>
  <c r="F15" i="2"/>
  <c r="E15" i="2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N12" i="2"/>
  <c r="M12" i="2"/>
  <c r="L12" i="2"/>
  <c r="K12" i="2"/>
  <c r="J12" i="2"/>
  <c r="I12" i="2"/>
  <c r="H12" i="2"/>
  <c r="F12" i="2"/>
  <c r="E12" i="2"/>
  <c r="D12" i="2"/>
  <c r="C12" i="2"/>
  <c r="B12" i="2"/>
  <c r="A12" i="2"/>
  <c r="N11" i="2"/>
  <c r="M11" i="2"/>
  <c r="L11" i="2"/>
  <c r="K11" i="2"/>
  <c r="J11" i="2"/>
  <c r="I11" i="2"/>
  <c r="H11" i="2"/>
  <c r="F11" i="2"/>
  <c r="E11" i="2"/>
  <c r="D11" i="2"/>
  <c r="C11" i="2"/>
  <c r="B11" i="2"/>
  <c r="A11" i="2"/>
  <c r="N10" i="2"/>
  <c r="M10" i="2"/>
  <c r="L10" i="2"/>
  <c r="K10" i="2"/>
  <c r="J10" i="2"/>
  <c r="I10" i="2"/>
  <c r="H10" i="2"/>
  <c r="F10" i="2"/>
  <c r="E10" i="2"/>
  <c r="D10" i="2"/>
  <c r="C10" i="2"/>
  <c r="B10" i="2"/>
  <c r="A10" i="2"/>
  <c r="N9" i="2"/>
  <c r="M9" i="2"/>
  <c r="L9" i="2"/>
  <c r="K9" i="2"/>
  <c r="J9" i="2"/>
  <c r="I9" i="2"/>
  <c r="H9" i="2"/>
  <c r="F9" i="2"/>
  <c r="E9" i="2"/>
  <c r="D9" i="2"/>
  <c r="C9" i="2"/>
  <c r="B9" i="2"/>
  <c r="A9" i="2"/>
  <c r="C5" i="2"/>
  <c r="E4" i="2"/>
  <c r="A4" i="2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M17" i="1"/>
  <c r="L17" i="1"/>
  <c r="K17" i="1"/>
  <c r="J17" i="1"/>
  <c r="I17" i="1"/>
  <c r="G17" i="1"/>
  <c r="F17" i="1"/>
  <c r="E17" i="1"/>
  <c r="D17" i="1"/>
  <c r="C17" i="1"/>
  <c r="B17" i="1"/>
  <c r="M16" i="1"/>
  <c r="L16" i="1"/>
  <c r="K16" i="1"/>
  <c r="J16" i="1"/>
  <c r="I16" i="1"/>
  <c r="G16" i="1"/>
  <c r="F16" i="1"/>
  <c r="E16" i="1"/>
  <c r="D16" i="1"/>
  <c r="C16" i="1"/>
  <c r="B16" i="1"/>
  <c r="M15" i="1"/>
  <c r="L15" i="1"/>
  <c r="K15" i="1"/>
  <c r="J15" i="1"/>
  <c r="I15" i="1"/>
  <c r="G15" i="1"/>
  <c r="F15" i="1"/>
  <c r="E15" i="1"/>
  <c r="D15" i="1"/>
  <c r="C15" i="1"/>
  <c r="B15" i="1"/>
  <c r="M14" i="1"/>
  <c r="L14" i="1"/>
  <c r="K14" i="1"/>
  <c r="J14" i="1"/>
  <c r="I14" i="1"/>
  <c r="G14" i="1"/>
  <c r="F14" i="1"/>
  <c r="E14" i="1"/>
  <c r="D14" i="1"/>
  <c r="C14" i="1"/>
  <c r="B14" i="1"/>
  <c r="M13" i="1"/>
  <c r="L13" i="1"/>
  <c r="K13" i="1"/>
  <c r="J13" i="1"/>
  <c r="I13" i="1"/>
  <c r="G13" i="1"/>
  <c r="F13" i="1"/>
  <c r="E13" i="1"/>
  <c r="D13" i="1"/>
  <c r="C13" i="1"/>
  <c r="B13" i="1"/>
  <c r="M12" i="1"/>
  <c r="L12" i="1"/>
  <c r="K12" i="1"/>
  <c r="J12" i="1"/>
  <c r="I12" i="1"/>
  <c r="G12" i="1"/>
  <c r="F12" i="1"/>
  <c r="E12" i="1"/>
  <c r="D12" i="1"/>
  <c r="C12" i="1"/>
  <c r="B12" i="1"/>
  <c r="M11" i="1"/>
  <c r="L11" i="1"/>
  <c r="K11" i="1"/>
  <c r="J11" i="1"/>
  <c r="I11" i="1"/>
  <c r="G11" i="1"/>
  <c r="F11" i="1"/>
  <c r="E11" i="1"/>
  <c r="D11" i="1"/>
  <c r="C11" i="1"/>
  <c r="B11" i="1"/>
  <c r="M10" i="1"/>
  <c r="L10" i="1"/>
  <c r="K10" i="1"/>
  <c r="J10" i="1"/>
  <c r="I10" i="1"/>
  <c r="G10" i="1"/>
  <c r="F10" i="1"/>
  <c r="E10" i="1"/>
  <c r="D10" i="1"/>
  <c r="C10" i="1"/>
  <c r="B10" i="1"/>
  <c r="L5" i="1"/>
  <c r="J5" i="1"/>
  <c r="H5" i="1"/>
  <c r="F5" i="1"/>
  <c r="D5" i="1"/>
  <c r="B5" i="1"/>
</calcChain>
</file>

<file path=xl/sharedStrings.xml><?xml version="1.0" encoding="utf-8"?>
<sst xmlns="http://schemas.openxmlformats.org/spreadsheetml/2006/main" count="162" uniqueCount="124">
  <si>
    <t>E-COMMERCE &amp; LOGISTICS — RESUMEN EJECUTIVO</t>
  </si>
  <si>
    <t>Fuente: hojas DATOS_Olist_Mensual, DATOS_Categorías, DATOS_Logística, DATOS_Pagos_Status, DATOS_DataCo</t>
  </si>
  <si>
    <t>TOTAL PEDIDOS</t>
  </si>
  <si>
    <t>REVENUE TOTAL</t>
  </si>
  <si>
    <t>TICKET MEDIO</t>
  </si>
  <si>
    <t>REVIEW SCORE MEDIO</t>
  </si>
  <si>
    <t>% ENTREGAS A TIEMPO</t>
  </si>
  <si>
    <t>% PEDIDOS TARDÍOS</t>
  </si>
  <si>
    <t>pedidos totales</t>
  </si>
  <si>
    <t>€ acumulados</t>
  </si>
  <si>
    <t>€ por pedido</t>
  </si>
  <si>
    <t>sobre 5 estrellas</t>
  </si>
  <si>
    <t>pedidos entregados</t>
  </si>
  <si>
    <t>tasa retraso media</t>
  </si>
  <si>
    <t>TOP CATEGORÍAS POR REVENUE  (fuente: DATOS_Categorías)</t>
  </si>
  <si>
    <t>ESTADO DE PEDIDOS  (fuente: DATOS_Pagos_Status!H:K)</t>
  </si>
  <si>
    <t>Categoría</t>
  </si>
  <si>
    <t>Pedidos</t>
  </si>
  <si>
    <t>Revenue (€)</t>
  </si>
  <si>
    <t>% s/Total</t>
  </si>
  <si>
    <t>Ticket (€)</t>
  </si>
  <si>
    <t>Review</t>
  </si>
  <si>
    <t>Estado</t>
  </si>
  <si>
    <t>% Pedidos</t>
  </si>
  <si>
    <t>ANÁLISIS DE LOGÍSTICA &amp; ENVÍOS</t>
  </si>
  <si>
    <t>Fuente: DATOS_Logística (estados Olist, pedidos entregados) + DATOS_DataCo (supply chain)</t>
  </si>
  <si>
    <t>Tasa retraso ponderada</t>
  </si>
  <si>
    <t>Días entrega promedio</t>
  </si>
  <si>
    <t>Retraso promedio ponderado</t>
  </si>
  <si>
    <t>% Tardíos</t>
  </si>
  <si>
    <t>Retraso Medio (días)</t>
  </si>
  <si>
    <t>Días Entrega</t>
  </si>
  <si>
    <t>Review Medio</t>
  </si>
  <si>
    <t>Modo Envío</t>
  </si>
  <si>
    <t>% Tardía</t>
  </si>
  <si>
    <t>Días Real</t>
  </si>
  <si>
    <t>Días Prog.</t>
  </si>
  <si>
    <t>Ventas (€)</t>
  </si>
  <si>
    <t>Profit (€)</t>
  </si>
  <si>
    <t>EVOLUCIÓN TEMPORAL — Olist E-Commerce + DataCo Supply Chain</t>
  </si>
  <si>
    <t>Gráficos alimentados directamente desde DATOS_Olist_Mensual (cols C-G, filas 4:29) y DATOS_DataCo (tendencia mensual)</t>
  </si>
  <si>
    <t>DATOS BASE – OLIST E-COMMERCE (resumen mensual)</t>
  </si>
  <si>
    <t>Año</t>
  </si>
  <si>
    <t>Mes</t>
  </si>
  <si>
    <t>Revenue Total (€)</t>
  </si>
  <si>
    <t>Ticket Medio (€)</t>
  </si>
  <si>
    <t>DATOS BASE – OLIST POR CATEGORÍA DE PRODUCTO</t>
  </si>
  <si>
    <t>Flete Medio (€)</t>
  </si>
  <si>
    <t>Eletronicos</t>
  </si>
  <si>
    <t>Livros Tecnicos</t>
  </si>
  <si>
    <t>Musica</t>
  </si>
  <si>
    <t>Relogios Presentes</t>
  </si>
  <si>
    <t>Pet Shop</t>
  </si>
  <si>
    <t>Cama Mesa Banho</t>
  </si>
  <si>
    <t>Bebes</t>
  </si>
  <si>
    <t>Informatica Acessorios</t>
  </si>
  <si>
    <t>Perfumaria</t>
  </si>
  <si>
    <t>Construcao Ferramentas</t>
  </si>
  <si>
    <t>Utilidades Domesticas</t>
  </si>
  <si>
    <t>Ferramentas Jardim</t>
  </si>
  <si>
    <t>Cool Stuff</t>
  </si>
  <si>
    <t>Brinquedos</t>
  </si>
  <si>
    <t>Beleza Saude</t>
  </si>
  <si>
    <t>Automotivo</t>
  </si>
  <si>
    <t>Esporte Lazer</t>
  </si>
  <si>
    <t>Moveis Decoracao</t>
  </si>
  <si>
    <t>DATOS BASE – LOGÍSTICA POR ESTADO (pedidos entregados)</t>
  </si>
  <si>
    <t>Días Entrega Medio</t>
  </si>
  <si>
    <t>AL</t>
  </si>
  <si>
    <t>ES</t>
  </si>
  <si>
    <t>SE</t>
  </si>
  <si>
    <t>BA</t>
  </si>
  <si>
    <t>PA</t>
  </si>
  <si>
    <t>RS</t>
  </si>
  <si>
    <t>GO</t>
  </si>
  <si>
    <t>SP</t>
  </si>
  <si>
    <t>MG</t>
  </si>
  <si>
    <t>SC</t>
  </si>
  <si>
    <t>PR</t>
  </si>
  <si>
    <t>RJ</t>
  </si>
  <si>
    <t>PB</t>
  </si>
  <si>
    <t>RN</t>
  </si>
  <si>
    <t>MS</t>
  </si>
  <si>
    <t>CE</t>
  </si>
  <si>
    <t>PE</t>
  </si>
  <si>
    <t>MT</t>
  </si>
  <si>
    <t>MA</t>
  </si>
  <si>
    <t>AM</t>
  </si>
  <si>
    <t>DATOS BASE – MÉTODOS DE PAGO</t>
  </si>
  <si>
    <t>DATOS BASE – ESTADO DE PEDIDOS</t>
  </si>
  <si>
    <t>Tipo Pago</t>
  </si>
  <si>
    <t>Cuotas Medias</t>
  </si>
  <si>
    <t>Estado Pedido</t>
  </si>
  <si>
    <t>credit_card</t>
  </si>
  <si>
    <t>delivered</t>
  </si>
  <si>
    <t>boleto</t>
  </si>
  <si>
    <t>shipped</t>
  </si>
  <si>
    <t>voucher</t>
  </si>
  <si>
    <t>canceled</t>
  </si>
  <si>
    <t>debit_card</t>
  </si>
  <si>
    <t>unavailable</t>
  </si>
  <si>
    <t>processing</t>
  </si>
  <si>
    <t>invoiced</t>
  </si>
  <si>
    <t>approved</t>
  </si>
  <si>
    <t>created</t>
  </si>
  <si>
    <t>DATOS BASE – DATACO SUPPLY CHAIN (modo envío)</t>
  </si>
  <si>
    <t>DATOS BASE – DATACO POR MERCADO</t>
  </si>
  <si>
    <t>% Entrega Tardía</t>
  </si>
  <si>
    <t>Días Real Medio</t>
  </si>
  <si>
    <t>Días Prog. Medio</t>
  </si>
  <si>
    <t>Ventas Totales (€)</t>
  </si>
  <si>
    <t>Profit Medio (€)</t>
  </si>
  <si>
    <t>Mercado</t>
  </si>
  <si>
    <t>Descuento Medio</t>
  </si>
  <si>
    <t>First Class</t>
  </si>
  <si>
    <t>Europe</t>
  </si>
  <si>
    <t>Standard Class</t>
  </si>
  <si>
    <t>LATAM</t>
  </si>
  <si>
    <t>Second Class</t>
  </si>
  <si>
    <t>Pacific Asia</t>
  </si>
  <si>
    <t>Same Day</t>
  </si>
  <si>
    <t>USCA</t>
  </si>
  <si>
    <t>Africa</t>
  </si>
  <si>
    <t>DATOS BASE – DATACO TENDENCIA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</si>
</sst>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&quot; días&quot;"/>
    <numFmt numFmtId="166" formatCode="0.0"/>
  </numFmts>
  <fonts count="18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AAAAAA"/>
      <name val="Arial"/>
      <charset val="1"/>
    </font>
    <font>
      <b/>
      <sz val="9"/>
      <color rgb="FFFFFFFF"/>
      <name val="Arial"/>
      <charset val="1"/>
    </font>
    <font>
      <b/>
      <sz val="18"/>
      <color rgb="FF2E75B6"/>
      <name val="Arial"/>
      <charset val="1"/>
    </font>
    <font>
      <b/>
      <sz val="18"/>
      <color rgb="FF1E8449"/>
      <name val="Arial"/>
      <charset val="1"/>
    </font>
    <font>
      <b/>
      <sz val="18"/>
      <color rgb="FFC0392B"/>
      <name val="Arial"/>
      <charset val="1"/>
    </font>
    <font>
      <i/>
      <sz val="8"/>
      <color rgb="FF888888"/>
      <name val="Arial"/>
      <charset val="1"/>
    </font>
    <font>
      <b/>
      <sz val="10"/>
      <color rgb="FFFFFFFF"/>
      <name val="Arial"/>
      <charset val="1"/>
    </font>
    <font>
      <sz val="10"/>
      <color rgb="FF1A1A2E"/>
      <name val="Arial"/>
      <charset val="1"/>
    </font>
    <font>
      <b/>
      <sz val="10"/>
      <color rgb="FF1A1A2E"/>
      <name val="Arial"/>
      <charset val="1"/>
    </font>
    <font>
      <b/>
      <sz val="14"/>
      <color rgb="FFFFFFFF"/>
      <name val="Arial"/>
      <charset val="1"/>
    </font>
    <font>
      <i/>
      <sz val="9"/>
      <color rgb="FF888888"/>
      <name val="Arial"/>
      <charset val="1"/>
    </font>
    <font>
      <b/>
      <sz val="22"/>
      <color rgb="FFC0392B"/>
      <name val="Arial"/>
      <charset val="1"/>
    </font>
    <font>
      <b/>
      <sz val="9"/>
      <color rgb="FFC0392B"/>
      <name val="Arial"/>
      <charset val="1"/>
    </font>
    <font>
      <b/>
      <sz val="14"/>
      <color rgb="FF2E75B6"/>
      <name val="Arial"/>
      <charset val="1"/>
    </font>
    <font>
      <b/>
      <sz val="14"/>
      <color rgb="FFD68910"/>
      <name val="Arial"/>
      <charset val="1"/>
    </font>
    <font>
      <b/>
      <sz val="12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7"/>
        <bgColor rgb="FF1A1A2E"/>
      </patternFill>
    </fill>
    <fill>
      <patternFill patternType="solid">
        <fgColor rgb="FFF0F4F8"/>
        <bgColor rgb="FFEBF3FB"/>
      </patternFill>
    </fill>
    <fill>
      <patternFill patternType="solid">
        <fgColor rgb="FF2E75B6"/>
        <bgColor rgb="FF3A7DC9"/>
      </patternFill>
    </fill>
    <fill>
      <patternFill patternType="solid">
        <fgColor rgb="FF1E8449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F8FAFC"/>
        <bgColor rgb="FFF9F9F9"/>
      </patternFill>
    </fill>
    <fill>
      <patternFill patternType="solid">
        <fgColor rgb="FF3A7DC9"/>
        <bgColor rgb="FF2E75B6"/>
      </patternFill>
    </fill>
    <fill>
      <patternFill patternType="solid">
        <fgColor rgb="FFEBF3FB"/>
        <bgColor rgb="FFF0F4F8"/>
      </patternFill>
    </fill>
    <fill>
      <patternFill patternType="solid">
        <fgColor rgb="FFFFFFFF"/>
        <bgColor rgb="FFFEF9F9"/>
      </patternFill>
    </fill>
    <fill>
      <patternFill patternType="solid">
        <fgColor rgb="FFFEF9F9"/>
        <bgColor rgb="FFF9F9F9"/>
      </patternFill>
    </fill>
  </fills>
  <borders count="4">
    <border>
      <left/>
      <right/>
      <top/>
      <bottom/>
      <diagonal/>
    </border>
    <border>
      <left style="thin">
        <color rgb="FFC8D6E5"/>
      </left>
      <right/>
      <top style="thin">
        <color rgb="FFC8D6E5"/>
      </top>
      <bottom style="thin">
        <color rgb="FFC8D6E5"/>
      </bottom>
      <diagonal/>
    </border>
    <border>
      <left style="thin">
        <color rgb="FFC8D6E5"/>
      </left>
      <right style="thin">
        <color rgb="FFC8D6E5"/>
      </right>
      <top style="thin">
        <color rgb="FFC8D6E5"/>
      </top>
      <bottom style="thin">
        <color rgb="FFC8D6E5"/>
      </bottom>
      <diagonal/>
    </border>
    <border>
      <left style="thin">
        <color rgb="FFC8D6E5"/>
      </left>
      <right/>
      <top style="thin">
        <color rgb="FFC8D6E5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3" fontId="9" fillId="9" borderId="2" xfId="0" applyNumberFormat="1" applyFont="1" applyFill="1" applyBorder="1" applyAlignment="1">
      <alignment horizontal="right" vertical="center"/>
    </xf>
    <xf numFmtId="4" fontId="9" fillId="9" borderId="2" xfId="0" applyNumberFormat="1" applyFont="1" applyFill="1" applyBorder="1" applyAlignment="1">
      <alignment horizontal="right" vertical="center"/>
    </xf>
    <xf numFmtId="164" fontId="9" fillId="9" borderId="2" xfId="0" applyNumberFormat="1" applyFont="1" applyFill="1" applyBorder="1" applyAlignment="1">
      <alignment horizontal="right" vertical="center"/>
    </xf>
    <xf numFmtId="2" fontId="9" fillId="9" borderId="2" xfId="0" applyNumberFormat="1" applyFont="1" applyFill="1" applyBorder="1" applyAlignment="1">
      <alignment horizontal="right" vertical="center"/>
    </xf>
    <xf numFmtId="0" fontId="10" fillId="9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3" fontId="9" fillId="10" borderId="2" xfId="0" applyNumberFormat="1" applyFont="1" applyFill="1" applyBorder="1" applyAlignment="1">
      <alignment horizontal="right" vertical="center"/>
    </xf>
    <xf numFmtId="4" fontId="9" fillId="10" borderId="2" xfId="0" applyNumberFormat="1" applyFont="1" applyFill="1" applyBorder="1" applyAlignment="1">
      <alignment horizontal="right" vertical="center"/>
    </xf>
    <xf numFmtId="164" fontId="9" fillId="10" borderId="2" xfId="0" applyNumberFormat="1" applyFont="1" applyFill="1" applyBorder="1" applyAlignment="1">
      <alignment horizontal="right" vertical="center"/>
    </xf>
    <xf numFmtId="2" fontId="9" fillId="10" borderId="2" xfId="0" applyNumberFormat="1" applyFont="1" applyFill="1" applyBorder="1" applyAlignment="1">
      <alignment horizontal="right" vertical="center"/>
    </xf>
    <xf numFmtId="0" fontId="10" fillId="10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166" fontId="9" fillId="9" borderId="2" xfId="0" applyNumberFormat="1" applyFont="1" applyFill="1" applyBorder="1" applyAlignment="1">
      <alignment horizontal="right" vertical="center"/>
    </xf>
    <xf numFmtId="166" fontId="9" fillId="10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right" vertical="center"/>
    </xf>
    <xf numFmtId="0" fontId="9" fillId="10" borderId="2" xfId="0" applyFont="1" applyFill="1" applyBorder="1" applyAlignment="1">
      <alignment horizontal="right" vertical="center"/>
    </xf>
    <xf numFmtId="0" fontId="8" fillId="4" borderId="0" xfId="0" applyFont="1" applyFill="1" applyAlignment="1">
      <alignment horizontal="left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4" fontId="13" fillId="11" borderId="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165" fontId="15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AAAAAA"/>
      <rgbColor rgb="FF878787"/>
      <rgbColor rgb="FF9999FF"/>
      <rgbColor rgb="FF993366"/>
      <rgbColor rgb="FFFEF9F9"/>
      <rgbColor rgb="FFEBF3FB"/>
      <rgbColor rgb="FF660066"/>
      <rgbColor rgb="FFFF8080"/>
      <rgbColor rgb="FF2E75B6"/>
      <rgbColor rgb="FFC8D6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F8FAFC"/>
      <rgbColor rgb="FFF9F9F9"/>
      <rgbColor rgb="FF99CCFF"/>
      <rgbColor rgb="FFFF99CC"/>
      <rgbColor rgb="FFCC99FF"/>
      <rgbColor rgb="FFD9D9D9"/>
      <rgbColor rgb="FF3A7DC9"/>
      <rgbColor rgb="FF33CCCC"/>
      <rgbColor rgb="FF99CC00"/>
      <rgbColor rgb="FFFFCC00"/>
      <rgbColor rgb="FFD68910"/>
      <rgbColor rgb="FFFF6600"/>
      <rgbColor rgb="FF666699"/>
      <rgbColor rgb="FF888888"/>
      <rgbColor rgb="FF003366"/>
      <rgbColor rgb="FF16A085"/>
      <rgbColor rgb="FF003300"/>
      <rgbColor rgb="FF1A1A2E"/>
      <rgbColor rgb="FFC0392B"/>
      <rgbColor rgb="FF993366"/>
      <rgbColor rgb="FF333399"/>
      <rgbColor rgb="FF1B2A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Revenue Total Mensual — Olist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DATOS_Olist_Mensual!$D$3</c:f>
              <c:strCache>
                <c:ptCount val="1"/>
                <c:pt idx="0">
                  <c:v>Revenue Total (€)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DATOS_Olist_Mensual!$B$4:$B$29</c:f>
              <c:numCache>
                <c:formatCode>General</c:formatCode>
                <c:ptCount val="26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</c:numCache>
            </c:numRef>
          </c:cat>
          <c:val>
            <c:numRef>
              <c:f>DATOS_Olist_Mensual!$D$4:$D$29</c:f>
              <c:numCache>
                <c:formatCode>#,##0.00</c:formatCode>
                <c:ptCount val="26"/>
                <c:pt idx="0">
                  <c:v>265051.19</c:v>
                </c:pt>
                <c:pt idx="1">
                  <c:v>292637.11</c:v>
                </c:pt>
                <c:pt idx="2">
                  <c:v>279263.90000000002</c:v>
                </c:pt>
                <c:pt idx="3">
                  <c:v>268911.69</c:v>
                </c:pt>
                <c:pt idx="4">
                  <c:v>246523.48</c:v>
                </c:pt>
                <c:pt idx="5">
                  <c:v>209836.67</c:v>
                </c:pt>
                <c:pt idx="6">
                  <c:v>220533.13</c:v>
                </c:pt>
                <c:pt idx="7">
                  <c:v>203483.13</c:v>
                </c:pt>
                <c:pt idx="8">
                  <c:v>192904.16</c:v>
                </c:pt>
                <c:pt idx="9">
                  <c:v>169172.4</c:v>
                </c:pt>
                <c:pt idx="10">
                  <c:v>165880.71</c:v>
                </c:pt>
                <c:pt idx="11">
                  <c:v>158817.43</c:v>
                </c:pt>
                <c:pt idx="12">
                  <c:v>147160.81</c:v>
                </c:pt>
                <c:pt idx="13">
                  <c:v>137000.85</c:v>
                </c:pt>
                <c:pt idx="14">
                  <c:v>137255.81</c:v>
                </c:pt>
                <c:pt idx="15">
                  <c:v>129678.83</c:v>
                </c:pt>
                <c:pt idx="16">
                  <c:v>123929.24</c:v>
                </c:pt>
                <c:pt idx="17">
                  <c:v>94834.81</c:v>
                </c:pt>
                <c:pt idx="18">
                  <c:v>110241.28</c:v>
                </c:pt>
                <c:pt idx="19">
                  <c:v>95933.9</c:v>
                </c:pt>
                <c:pt idx="20">
                  <c:v>95819.35</c:v>
                </c:pt>
                <c:pt idx="21">
                  <c:v>81701.17</c:v>
                </c:pt>
                <c:pt idx="22">
                  <c:v>82021.56</c:v>
                </c:pt>
                <c:pt idx="23">
                  <c:v>71493.8</c:v>
                </c:pt>
                <c:pt idx="24">
                  <c:v>71028.38</c:v>
                </c:pt>
                <c:pt idx="25">
                  <c:v>1149044.1200000001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A-4BB3-99D5-7EA465340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518111"/>
        <c:axId val="71723661"/>
      </c:barChart>
      <c:catAx>
        <c:axId val="46518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Año / 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1723661"/>
        <c:crosses val="autoZero"/>
        <c:auto val="1"/>
        <c:lblAlgn val="ctr"/>
        <c:lblOffset val="100"/>
        <c:noMultiLvlLbl val="0"/>
      </c:catAx>
      <c:valAx>
        <c:axId val="71723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Revenue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65181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Pedidos Mensuales — Olist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DATOS_Olist_Mensual!$C$3</c:f>
              <c:strCache>
                <c:ptCount val="1"/>
                <c:pt idx="0">
                  <c:v>Pedidos</c:v>
                </c:pt>
              </c:strCache>
            </c:strRef>
          </c:tx>
          <c:spPr>
            <a:ln w="20160">
              <a:solidFill>
                <a:srgbClr val="1E844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DATOS_Olist_Mensual!$B$4:$B$29</c:f>
              <c:numCache>
                <c:formatCode>General</c:formatCode>
                <c:ptCount val="26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</c:numCache>
            </c:numRef>
          </c:cat>
          <c:val>
            <c:numRef>
              <c:f>DATOS_Olist_Mensual!$C$4:$C$29</c:f>
              <c:numCache>
                <c:formatCode>#,##0</c:formatCode>
                <c:ptCount val="26"/>
                <c:pt idx="0">
                  <c:v>2999</c:v>
                </c:pt>
                <c:pt idx="1">
                  <c:v>3319</c:v>
                </c:pt>
                <c:pt idx="2">
                  <c:v>3216</c:v>
                </c:pt>
                <c:pt idx="3">
                  <c:v>3010</c:v>
                </c:pt>
                <c:pt idx="4">
                  <c:v>2830</c:v>
                </c:pt>
                <c:pt idx="5">
                  <c:v>2354</c:v>
                </c:pt>
                <c:pt idx="6">
                  <c:v>2497</c:v>
                </c:pt>
                <c:pt idx="7">
                  <c:v>2276</c:v>
                </c:pt>
                <c:pt idx="8">
                  <c:v>2222</c:v>
                </c:pt>
                <c:pt idx="9">
                  <c:v>1932</c:v>
                </c:pt>
                <c:pt idx="10">
                  <c:v>1930</c:v>
                </c:pt>
                <c:pt idx="11">
                  <c:v>1780</c:v>
                </c:pt>
                <c:pt idx="12">
                  <c:v>1637</c:v>
                </c:pt>
                <c:pt idx="13">
                  <c:v>1597</c:v>
                </c:pt>
                <c:pt idx="14">
                  <c:v>1511</c:v>
                </c:pt>
                <c:pt idx="15">
                  <c:v>1439</c:v>
                </c:pt>
                <c:pt idx="16">
                  <c:v>1326</c:v>
                </c:pt>
                <c:pt idx="17">
                  <c:v>1109</c:v>
                </c:pt>
                <c:pt idx="18">
                  <c:v>1228</c:v>
                </c:pt>
                <c:pt idx="19">
                  <c:v>1065</c:v>
                </c:pt>
                <c:pt idx="20">
                  <c:v>1080</c:v>
                </c:pt>
                <c:pt idx="21">
                  <c:v>944</c:v>
                </c:pt>
                <c:pt idx="22">
                  <c:v>913</c:v>
                </c:pt>
                <c:pt idx="23">
                  <c:v>795</c:v>
                </c:pt>
                <c:pt idx="24">
                  <c:v>796</c:v>
                </c:pt>
                <c:pt idx="25">
                  <c:v>12995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76-40A8-970B-C237CF167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596369"/>
        <c:axId val="60960631"/>
      </c:lineChart>
      <c:catAx>
        <c:axId val="965963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0960631"/>
        <c:crosses val="autoZero"/>
        <c:auto val="1"/>
        <c:lblAlgn val="ctr"/>
        <c:lblOffset val="100"/>
        <c:noMultiLvlLbl val="0"/>
      </c:catAx>
      <c:valAx>
        <c:axId val="60960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Pedidos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65963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Review Score Medio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DATOS_Olist_Mensual!$F$3</c:f>
              <c:strCache>
                <c:ptCount val="1"/>
                <c:pt idx="0">
                  <c:v>Review Medio</c:v>
                </c:pt>
              </c:strCache>
            </c:strRef>
          </c:tx>
          <c:spPr>
            <a:ln w="20160">
              <a:solidFill>
                <a:srgbClr val="D6891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DATOS_Olist_Mensual!$B$4:$B$29</c:f>
              <c:numCache>
                <c:formatCode>General</c:formatCode>
                <c:ptCount val="26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</c:numCache>
            </c:numRef>
          </c:cat>
          <c:val>
            <c:numRef>
              <c:f>DATOS_Olist_Mensual!$F$4:$F$29</c:f>
              <c:numCache>
                <c:formatCode>0.00</c:formatCode>
                <c:ptCount val="26"/>
                <c:pt idx="0">
                  <c:v>4.0599999999999996</c:v>
                </c:pt>
                <c:pt idx="1">
                  <c:v>4.04</c:v>
                </c:pt>
                <c:pt idx="2">
                  <c:v>3.99</c:v>
                </c:pt>
                <c:pt idx="3">
                  <c:v>4.09</c:v>
                </c:pt>
                <c:pt idx="4">
                  <c:v>4.04</c:v>
                </c:pt>
                <c:pt idx="5">
                  <c:v>4.05</c:v>
                </c:pt>
                <c:pt idx="6">
                  <c:v>4.09</c:v>
                </c:pt>
                <c:pt idx="7">
                  <c:v>4.08</c:v>
                </c:pt>
                <c:pt idx="8">
                  <c:v>4.0999999999999996</c:v>
                </c:pt>
                <c:pt idx="9">
                  <c:v>4.0599999999999996</c:v>
                </c:pt>
                <c:pt idx="10">
                  <c:v>4.01</c:v>
                </c:pt>
                <c:pt idx="11">
                  <c:v>4.0999999999999996</c:v>
                </c:pt>
                <c:pt idx="12">
                  <c:v>4.01</c:v>
                </c:pt>
                <c:pt idx="13">
                  <c:v>4.0199999999999996</c:v>
                </c:pt>
                <c:pt idx="14">
                  <c:v>4.07</c:v>
                </c:pt>
                <c:pt idx="15">
                  <c:v>4.05</c:v>
                </c:pt>
                <c:pt idx="16">
                  <c:v>4.05</c:v>
                </c:pt>
                <c:pt idx="17">
                  <c:v>4.13</c:v>
                </c:pt>
                <c:pt idx="18">
                  <c:v>4</c:v>
                </c:pt>
                <c:pt idx="19">
                  <c:v>4.03</c:v>
                </c:pt>
                <c:pt idx="20">
                  <c:v>4.09</c:v>
                </c:pt>
                <c:pt idx="21">
                  <c:v>4.03</c:v>
                </c:pt>
                <c:pt idx="22">
                  <c:v>3.95</c:v>
                </c:pt>
                <c:pt idx="23">
                  <c:v>4.13</c:v>
                </c:pt>
                <c:pt idx="24">
                  <c:v>4.07</c:v>
                </c:pt>
                <c:pt idx="25">
                  <c:v>4.05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61-4302-AB49-9840B9632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109461"/>
        <c:axId val="75049347"/>
      </c:lineChart>
      <c:catAx>
        <c:axId val="741094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5049347"/>
        <c:crosses val="autoZero"/>
        <c:auto val="1"/>
        <c:lblAlgn val="ctr"/>
        <c:lblOffset val="100"/>
        <c:noMultiLvlLbl val="0"/>
      </c:catAx>
      <c:valAx>
        <c:axId val="75049347"/>
        <c:scaling>
          <c:orientation val="minMax"/>
          <c:max val="5"/>
          <c:min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41094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% Pedidos Tardíos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DATOS_Olist_Mensual!$G$3</c:f>
              <c:strCache>
                <c:ptCount val="1"/>
                <c:pt idx="0">
                  <c:v>% Tardíos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DATOS_Olist_Mensual!$B$4:$B$29</c:f>
              <c:numCache>
                <c:formatCode>General</c:formatCode>
                <c:ptCount val="26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</c:numCache>
            </c:numRef>
          </c:cat>
          <c:val>
            <c:numRef>
              <c:f>DATOS_Olist_Mensual!$G$4:$G$29</c:f>
              <c:numCache>
                <c:formatCode>0.0%</c:formatCode>
                <c:ptCount val="26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0.12</c:v>
                </c:pt>
                <c:pt idx="7">
                  <c:v>0.12</c:v>
                </c:pt>
                <c:pt idx="8">
                  <c:v>0.11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0.11</c:v>
                </c:pt>
                <c:pt idx="14">
                  <c:v>0.12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0.13</c:v>
                </c:pt>
                <c:pt idx="19">
                  <c:v>0.12</c:v>
                </c:pt>
                <c:pt idx="20">
                  <c:v>0.12</c:v>
                </c:pt>
                <c:pt idx="21">
                  <c:v>0.11</c:v>
                </c:pt>
                <c:pt idx="22">
                  <c:v>0.13</c:v>
                </c:pt>
                <c:pt idx="23">
                  <c:v>0.11</c:v>
                </c:pt>
                <c:pt idx="24">
                  <c:v>0.11</c:v>
                </c:pt>
                <c:pt idx="25">
                  <c:v>0.12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F1-4952-8A6C-43FC5740B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692397"/>
        <c:axId val="13094392"/>
      </c:lineChart>
      <c:catAx>
        <c:axId val="436923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3094392"/>
        <c:crosses val="autoZero"/>
        <c:auto val="1"/>
        <c:lblAlgn val="ctr"/>
        <c:lblOffset val="100"/>
        <c:noMultiLvlLbl val="0"/>
      </c:catAx>
      <c:valAx>
        <c:axId val="130943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36923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Ventas Mensuales — DataCo Supply Chain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DATOS_DataCo!$D$11</c:f>
              <c:strCache>
                <c:ptCount val="1"/>
                <c:pt idx="0">
                  <c:v>Ventas (€)</c:v>
                </c:pt>
              </c:strCache>
            </c:strRef>
          </c:tx>
          <c:spPr>
            <a:solidFill>
              <a:srgbClr val="16A08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DATOS_DataCo!$B$12:$B$59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5</c:v>
                </c:pt>
                <c:pt idx="41">
                  <c:v>6</c:v>
                </c:pt>
                <c:pt idx="42">
                  <c:v>7</c:v>
                </c:pt>
                <c:pt idx="43">
                  <c:v>8</c:v>
                </c:pt>
                <c:pt idx="44">
                  <c:v>9</c:v>
                </c:pt>
                <c:pt idx="45">
                  <c:v>10</c:v>
                </c:pt>
                <c:pt idx="46">
                  <c:v>11</c:v>
                </c:pt>
                <c:pt idx="47">
                  <c:v>12</c:v>
                </c:pt>
              </c:numCache>
            </c:numRef>
          </c:cat>
          <c:val>
            <c:numRef>
              <c:f>DATOS_DataCo!$D$12:$D$59</c:f>
              <c:numCache>
                <c:formatCode>#,##0.00</c:formatCode>
                <c:ptCount val="48"/>
                <c:pt idx="0">
                  <c:v>270993.90999999997</c:v>
                </c:pt>
                <c:pt idx="1">
                  <c:v>255130.77</c:v>
                </c:pt>
                <c:pt idx="2">
                  <c:v>290334.32</c:v>
                </c:pt>
                <c:pt idx="3">
                  <c:v>267158.74</c:v>
                </c:pt>
                <c:pt idx="4">
                  <c:v>270646.13</c:v>
                </c:pt>
                <c:pt idx="5">
                  <c:v>295562.67</c:v>
                </c:pt>
                <c:pt idx="6">
                  <c:v>287241.09999999998</c:v>
                </c:pt>
                <c:pt idx="7">
                  <c:v>285196.46999999997</c:v>
                </c:pt>
                <c:pt idx="8">
                  <c:v>281518.53000000003</c:v>
                </c:pt>
                <c:pt idx="9">
                  <c:v>270129.83</c:v>
                </c:pt>
                <c:pt idx="10">
                  <c:v>283239.43</c:v>
                </c:pt>
                <c:pt idx="11">
                  <c:v>303294.62</c:v>
                </c:pt>
                <c:pt idx="12">
                  <c:v>293246.40000000002</c:v>
                </c:pt>
                <c:pt idx="13">
                  <c:v>283624.28000000003</c:v>
                </c:pt>
                <c:pt idx="14">
                  <c:v>310572.40000000002</c:v>
                </c:pt>
                <c:pt idx="15">
                  <c:v>274708.58</c:v>
                </c:pt>
                <c:pt idx="16">
                  <c:v>265068.44</c:v>
                </c:pt>
                <c:pt idx="17">
                  <c:v>281935.62</c:v>
                </c:pt>
                <c:pt idx="18">
                  <c:v>285360.28999999998</c:v>
                </c:pt>
                <c:pt idx="19">
                  <c:v>280457.59000000003</c:v>
                </c:pt>
                <c:pt idx="20">
                  <c:v>248309.36</c:v>
                </c:pt>
                <c:pt idx="21">
                  <c:v>279655.28999999998</c:v>
                </c:pt>
                <c:pt idx="22">
                  <c:v>243022.88</c:v>
                </c:pt>
                <c:pt idx="23">
                  <c:v>291830.15999999997</c:v>
                </c:pt>
                <c:pt idx="24">
                  <c:v>287789.26</c:v>
                </c:pt>
                <c:pt idx="25">
                  <c:v>276723.13</c:v>
                </c:pt>
                <c:pt idx="26">
                  <c:v>278408.71000000002</c:v>
                </c:pt>
                <c:pt idx="27">
                  <c:v>274073.24</c:v>
                </c:pt>
                <c:pt idx="28">
                  <c:v>287857.2</c:v>
                </c:pt>
                <c:pt idx="29">
                  <c:v>266442.56</c:v>
                </c:pt>
                <c:pt idx="30">
                  <c:v>279377.26</c:v>
                </c:pt>
                <c:pt idx="31">
                  <c:v>299014.56</c:v>
                </c:pt>
                <c:pt idx="32">
                  <c:v>259579.95</c:v>
                </c:pt>
                <c:pt idx="33">
                  <c:v>278841.01</c:v>
                </c:pt>
                <c:pt idx="34">
                  <c:v>285999.21000000002</c:v>
                </c:pt>
                <c:pt idx="35">
                  <c:v>303445.38</c:v>
                </c:pt>
                <c:pt idx="36">
                  <c:v>271706.46000000002</c:v>
                </c:pt>
                <c:pt idx="37">
                  <c:v>281552.28000000003</c:v>
                </c:pt>
                <c:pt idx="38">
                  <c:v>281675.69</c:v>
                </c:pt>
                <c:pt idx="39">
                  <c:v>267603.3</c:v>
                </c:pt>
                <c:pt idx="40">
                  <c:v>304062.90999999997</c:v>
                </c:pt>
                <c:pt idx="41">
                  <c:v>259385.46</c:v>
                </c:pt>
                <c:pt idx="42">
                  <c:v>281613.26</c:v>
                </c:pt>
                <c:pt idx="43">
                  <c:v>304329.13</c:v>
                </c:pt>
                <c:pt idx="44">
                  <c:v>295414.8</c:v>
                </c:pt>
                <c:pt idx="45">
                  <c:v>274707.02</c:v>
                </c:pt>
                <c:pt idx="46">
                  <c:v>271568.34999999998</c:v>
                </c:pt>
                <c:pt idx="47">
                  <c:v>262601.7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8-4FA5-A5E1-F92804AFF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33987"/>
        <c:axId val="85697775"/>
      </c:barChart>
      <c:catAx>
        <c:axId val="207339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5697775"/>
        <c:crosses val="autoZero"/>
        <c:auto val="1"/>
        <c:lblAlgn val="ctr"/>
        <c:lblOffset val="100"/>
        <c:noMultiLvlLbl val="0"/>
      </c:catAx>
      <c:valAx>
        <c:axId val="85697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Ventas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07339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78480</xdr:colOff>
      <xdr:row>29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14</xdr:col>
      <xdr:colOff>78480</xdr:colOff>
      <xdr:row>51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</xdr:row>
      <xdr:rowOff>0</xdr:rowOff>
    </xdr:from>
    <xdr:to>
      <xdr:col>26</xdr:col>
      <xdr:colOff>78840</xdr:colOff>
      <xdr:row>29</xdr:row>
      <xdr:rowOff>86760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25</xdr:row>
      <xdr:rowOff>0</xdr:rowOff>
    </xdr:from>
    <xdr:to>
      <xdr:col>26</xdr:col>
      <xdr:colOff>78840</xdr:colOff>
      <xdr:row>51</xdr:row>
      <xdr:rowOff>86760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0</xdr:rowOff>
    </xdr:from>
    <xdr:to>
      <xdr:col>14</xdr:col>
      <xdr:colOff>78480</xdr:colOff>
      <xdr:row>73</xdr:row>
      <xdr:rowOff>86400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showGridLines="0" zoomScaleNormal="100" workbookViewId="0">
      <selection activeCell="E10" sqref="E10"/>
    </sheetView>
  </sheetViews>
  <sheetFormatPr baseColWidth="10" defaultColWidth="8.6328125" defaultRowHeight="14.5" x14ac:dyDescent="0.35"/>
  <cols>
    <col min="1" max="1" width="2" customWidth="1"/>
    <col min="2" max="2" width="20.7265625" bestFit="1" customWidth="1"/>
    <col min="3" max="3" width="7.7265625" customWidth="1"/>
    <col min="4" max="4" width="10.453125" customWidth="1"/>
    <col min="5" max="5" width="11.08984375" customWidth="1"/>
    <col min="6" max="6" width="14" customWidth="1"/>
    <col min="7" max="8" width="6.90625" customWidth="1"/>
    <col min="9" max="9" width="9.36328125" customWidth="1"/>
    <col min="10" max="10" width="10.36328125" customWidth="1"/>
    <col min="11" max="11" width="11.90625" customWidth="1"/>
    <col min="12" max="12" width="14" customWidth="1"/>
    <col min="13" max="13" width="9.36328125" customWidth="1"/>
  </cols>
  <sheetData>
    <row r="1" spans="1:14" ht="37.5" customHeight="1" x14ac:dyDescent="0.3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.75" customHeight="1" x14ac:dyDescent="0.3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9.75" customHeight="1" x14ac:dyDescent="0.35"/>
    <row r="4" spans="1:14" ht="19.5" customHeight="1" x14ac:dyDescent="0.35">
      <c r="B4" s="30" t="s">
        <v>2</v>
      </c>
      <c r="C4" s="30"/>
      <c r="D4" s="31" t="s">
        <v>3</v>
      </c>
      <c r="E4" s="31"/>
      <c r="F4" s="30" t="s">
        <v>4</v>
      </c>
      <c r="G4" s="30"/>
      <c r="H4" s="31" t="s">
        <v>5</v>
      </c>
      <c r="I4" s="31"/>
      <c r="J4" s="31" t="s">
        <v>6</v>
      </c>
      <c r="K4" s="31"/>
      <c r="L4" s="32" t="s">
        <v>7</v>
      </c>
      <c r="M4" s="32"/>
    </row>
    <row r="5" spans="1:14" ht="33.75" customHeight="1" x14ac:dyDescent="0.35">
      <c r="B5" s="23">
        <f>SUM(DATOS_Olist_Mensual!C4:C29)</f>
        <v>58800</v>
      </c>
      <c r="C5" s="23"/>
      <c r="D5" s="24">
        <f>SUM(DATOS_Olist_Mensual!D4:D29)</f>
        <v>5200158.91</v>
      </c>
      <c r="E5" s="24"/>
      <c r="F5" s="25">
        <f>SUMPRODUCT(DATOS_Olist_Mensual!C4:C29,DATOS_Olist_Mensual!E4:E29)/SUM(DATOS_Olist_Mensual!C4:C29)</f>
        <v>76.918415306122441</v>
      </c>
      <c r="G5" s="25"/>
      <c r="H5" s="26">
        <f>SUMPRODUCT(DATOS_Olist_Mensual!C4:C29,DATOS_Olist_Mensual!F4:F29)/SUM(DATOS_Olist_Mensual!C4:C29)</f>
        <v>4.0524100340136062</v>
      </c>
      <c r="I5" s="26"/>
      <c r="J5" s="27">
        <f>1-AVERAGE(DATOS_Logística!C4:C23)</f>
        <v>0.88549999999999995</v>
      </c>
      <c r="K5" s="27"/>
      <c r="L5" s="21">
        <f>AVERAGE(DATOS_Logística!C4:C23)</f>
        <v>0.1145</v>
      </c>
      <c r="M5" s="21"/>
    </row>
    <row r="6" spans="1:14" ht="13.5" customHeight="1" x14ac:dyDescent="0.35">
      <c r="B6" s="22" t="s">
        <v>8</v>
      </c>
      <c r="C6" s="22"/>
      <c r="D6" s="22" t="s">
        <v>9</v>
      </c>
      <c r="E6" s="22"/>
      <c r="F6" s="22" t="s">
        <v>10</v>
      </c>
      <c r="G6" s="22"/>
      <c r="H6" s="22" t="s">
        <v>11</v>
      </c>
      <c r="I6" s="22"/>
      <c r="J6" s="22" t="s">
        <v>12</v>
      </c>
      <c r="K6" s="22"/>
      <c r="L6" s="22" t="s">
        <v>13</v>
      </c>
      <c r="M6" s="22"/>
    </row>
    <row r="7" spans="1:14" ht="12" customHeight="1" x14ac:dyDescent="0.35"/>
    <row r="8" spans="1:14" ht="21.75" customHeight="1" x14ac:dyDescent="0.35">
      <c r="B8" s="20" t="s">
        <v>14</v>
      </c>
      <c r="C8" s="20"/>
      <c r="D8" s="20"/>
      <c r="E8" s="20"/>
      <c r="F8" s="20"/>
      <c r="G8" s="20"/>
      <c r="I8" s="20" t="s">
        <v>15</v>
      </c>
      <c r="J8" s="20"/>
      <c r="K8" s="20"/>
      <c r="L8" s="20"/>
      <c r="M8" s="20"/>
      <c r="N8" s="20"/>
    </row>
    <row r="9" spans="1:14" ht="18" customHeight="1" x14ac:dyDescent="0.35"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I9" s="1" t="s">
        <v>22</v>
      </c>
      <c r="J9" s="1" t="s">
        <v>17</v>
      </c>
      <c r="K9" s="1" t="s">
        <v>18</v>
      </c>
      <c r="L9" s="1" t="s">
        <v>23</v>
      </c>
      <c r="M9" s="1" t="s">
        <v>20</v>
      </c>
      <c r="N9" s="1"/>
    </row>
    <row r="10" spans="1:14" ht="16.5" customHeight="1" x14ac:dyDescent="0.35">
      <c r="B10" s="2" t="str">
        <f>DATOS_Categorías!A4</f>
        <v>Eletronicos</v>
      </c>
      <c r="C10" s="3">
        <f>DATOS_Categorías!B4</f>
        <v>3323</v>
      </c>
      <c r="D10" s="4">
        <f>DATOS_Categorías!C4</f>
        <v>302109.40000000002</v>
      </c>
      <c r="E10" s="5">
        <f>DATOS_Categorías!C4/SUM(DATOS_Categorías!C$4:C$21)</f>
        <v>5.8096186141357746E-2</v>
      </c>
      <c r="F10" s="4">
        <f>DATOS_Categorías!D4</f>
        <v>78.91</v>
      </c>
      <c r="G10" s="6">
        <f>DATOS_Categorías!F4</f>
        <v>4.04</v>
      </c>
      <c r="I10" s="7" t="str">
        <f>DATOS_Pagos_Status!H4</f>
        <v>delivered</v>
      </c>
      <c r="J10" s="3">
        <f>DATOS_Pagos_Status!I4</f>
        <v>45192</v>
      </c>
      <c r="K10" s="4">
        <f>DATOS_Pagos_Status!J4</f>
        <v>4005198.91</v>
      </c>
      <c r="L10" s="5">
        <f>DATOS_Pagos_Status!I4/SUM(DATOS_Pagos_Status!I$4:I$11)</f>
        <v>0.76857142857142857</v>
      </c>
      <c r="M10" s="4">
        <f>DATOS_Pagos_Status!K4</f>
        <v>77.09</v>
      </c>
      <c r="N10" s="2"/>
    </row>
    <row r="11" spans="1:14" ht="16.5" customHeight="1" x14ac:dyDescent="0.35">
      <c r="B11" s="8" t="str">
        <f>DATOS_Categorías!A5</f>
        <v>Livros Tecnicos</v>
      </c>
      <c r="C11" s="9">
        <f>DATOS_Categorías!B5</f>
        <v>3308</v>
      </c>
      <c r="D11" s="10">
        <f>DATOS_Categorías!C5</f>
        <v>301994.90000000002</v>
      </c>
      <c r="E11" s="11">
        <f>DATOS_Categorías!C5/SUM(DATOS_Categorías!C$4:C$21)</f>
        <v>5.807416758346718E-2</v>
      </c>
      <c r="F11" s="10">
        <f>DATOS_Categorías!D5</f>
        <v>79.430000000000007</v>
      </c>
      <c r="G11" s="12">
        <f>DATOS_Categorías!F5</f>
        <v>4.05</v>
      </c>
      <c r="I11" s="13" t="str">
        <f>DATOS_Pagos_Status!H5</f>
        <v>shipped</v>
      </c>
      <c r="J11" s="9">
        <f>DATOS_Pagos_Status!I5</f>
        <v>4815</v>
      </c>
      <c r="K11" s="10">
        <f>DATOS_Pagos_Status!J5</f>
        <v>424746.62</v>
      </c>
      <c r="L11" s="11">
        <f>DATOS_Pagos_Status!I5/SUM(DATOS_Pagos_Status!I$4:I$11)</f>
        <v>8.1887755102040813E-2</v>
      </c>
      <c r="M11" s="10">
        <f>DATOS_Pagos_Status!K5</f>
        <v>76.680000000000007</v>
      </c>
      <c r="N11" s="8"/>
    </row>
    <row r="12" spans="1:14" ht="16.5" customHeight="1" x14ac:dyDescent="0.35">
      <c r="B12" s="2" t="str">
        <f>DATOS_Categorías!A6</f>
        <v>Musica</v>
      </c>
      <c r="C12" s="3">
        <f>DATOS_Categorías!B6</f>
        <v>3367</v>
      </c>
      <c r="D12" s="4">
        <f>DATOS_Categorías!C6</f>
        <v>300432.59000000003</v>
      </c>
      <c r="E12" s="5">
        <f>DATOS_Categorías!C6/SUM(DATOS_Categorías!C$4:C$21)</f>
        <v>5.7773732533877513E-2</v>
      </c>
      <c r="F12" s="4">
        <f>DATOS_Categorías!D6</f>
        <v>77.599999999999994</v>
      </c>
      <c r="G12" s="6">
        <f>DATOS_Categorías!F6</f>
        <v>4.0599999999999996</v>
      </c>
      <c r="I12" s="7" t="str">
        <f>DATOS_Pagos_Status!H6</f>
        <v>canceled</v>
      </c>
      <c r="J12" s="3">
        <f>DATOS_Pagos_Status!I6</f>
        <v>3503</v>
      </c>
      <c r="K12" s="4">
        <f>DATOS_Pagos_Status!J6</f>
        <v>306739.25</v>
      </c>
      <c r="L12" s="5">
        <f>DATOS_Pagos_Status!I6/SUM(DATOS_Pagos_Status!I$4:I$11)</f>
        <v>5.9574829931972786E-2</v>
      </c>
      <c r="M12" s="4">
        <f>DATOS_Pagos_Status!K6</f>
        <v>76.290000000000006</v>
      </c>
      <c r="N12" s="2"/>
    </row>
    <row r="13" spans="1:14" ht="16.5" customHeight="1" x14ac:dyDescent="0.35">
      <c r="B13" s="8" t="str">
        <f>DATOS_Categorías!A7</f>
        <v>Relogios Presentes</v>
      </c>
      <c r="C13" s="9">
        <f>DATOS_Categorías!B7</f>
        <v>3365</v>
      </c>
      <c r="D13" s="10">
        <f>DATOS_Categorías!C7</f>
        <v>296836.12</v>
      </c>
      <c r="E13" s="11">
        <f>DATOS_Categorías!C7/SUM(DATOS_Categorías!C$4:C$21)</f>
        <v>5.70821248229893E-2</v>
      </c>
      <c r="F13" s="10">
        <f>DATOS_Categorías!D7</f>
        <v>76.7</v>
      </c>
      <c r="G13" s="12">
        <f>DATOS_Categorías!F7</f>
        <v>4.05</v>
      </c>
      <c r="I13" s="13" t="str">
        <f>DATOS_Pagos_Status!H7</f>
        <v>unavailable</v>
      </c>
      <c r="J13" s="9">
        <f>DATOS_Pagos_Status!I7</f>
        <v>1750</v>
      </c>
      <c r="K13" s="10">
        <f>DATOS_Pagos_Status!J7</f>
        <v>148938.12</v>
      </c>
      <c r="L13" s="11">
        <f>DATOS_Pagos_Status!I7/SUM(DATOS_Pagos_Status!I$4:I$11)</f>
        <v>2.976190476190476E-2</v>
      </c>
      <c r="M13" s="10">
        <f>DATOS_Pagos_Status!K7</f>
        <v>74</v>
      </c>
      <c r="N13" s="8"/>
    </row>
    <row r="14" spans="1:14" ht="16.5" customHeight="1" x14ac:dyDescent="0.35">
      <c r="B14" s="2" t="str">
        <f>DATOS_Categorías!A8</f>
        <v>Pet Shop</v>
      </c>
      <c r="C14" s="3">
        <f>DATOS_Categorías!B8</f>
        <v>3270</v>
      </c>
      <c r="D14" s="4">
        <f>DATOS_Categorías!C8</f>
        <v>292351.49</v>
      </c>
      <c r="E14" s="5">
        <f>DATOS_Categorías!C8/SUM(DATOS_Categorías!C$4:C$21)</f>
        <v>5.6219722331523898E-2</v>
      </c>
      <c r="F14" s="4">
        <f>DATOS_Categorías!D8</f>
        <v>77.66</v>
      </c>
      <c r="G14" s="6">
        <f>DATOS_Categorías!F8</f>
        <v>4.0999999999999996</v>
      </c>
      <c r="I14" s="7" t="str">
        <f>DATOS_Pagos_Status!H8</f>
        <v>processing</v>
      </c>
      <c r="J14" s="3">
        <f>DATOS_Pagos_Status!I8</f>
        <v>1198</v>
      </c>
      <c r="K14" s="4">
        <f>DATOS_Pagos_Status!J8</f>
        <v>107739.62</v>
      </c>
      <c r="L14" s="5">
        <f>DATOS_Pagos_Status!I8/SUM(DATOS_Pagos_Status!I$4:I$11)</f>
        <v>2.0374149659863946E-2</v>
      </c>
      <c r="M14" s="4">
        <f>DATOS_Pagos_Status!K8</f>
        <v>78.22</v>
      </c>
      <c r="N14" s="2"/>
    </row>
    <row r="15" spans="1:14" ht="16.5" customHeight="1" x14ac:dyDescent="0.35">
      <c r="B15" s="8" t="str">
        <f>DATOS_Categorías!A9</f>
        <v>Cama Mesa Banho</v>
      </c>
      <c r="C15" s="9">
        <f>DATOS_Categorías!B9</f>
        <v>3291</v>
      </c>
      <c r="D15" s="10">
        <f>DATOS_Categorías!C9</f>
        <v>291349.63</v>
      </c>
      <c r="E15" s="11">
        <f>DATOS_Categorías!C9/SUM(DATOS_Categorías!C$4:C$21)</f>
        <v>5.6027062834508645E-2</v>
      </c>
      <c r="F15" s="10">
        <f>DATOS_Categorías!D9</f>
        <v>76.97</v>
      </c>
      <c r="G15" s="12">
        <f>DATOS_Categorías!F9</f>
        <v>4.05</v>
      </c>
      <c r="I15" s="13" t="str">
        <f>DATOS_Pagos_Status!H9</f>
        <v>invoiced</v>
      </c>
      <c r="J15" s="9">
        <f>DATOS_Pagos_Status!I9</f>
        <v>1192</v>
      </c>
      <c r="K15" s="10">
        <f>DATOS_Pagos_Status!J9</f>
        <v>103034.19</v>
      </c>
      <c r="L15" s="11">
        <f>DATOS_Pagos_Status!I9/SUM(DATOS_Pagos_Status!I$4:I$11)</f>
        <v>2.0272108843537414E-2</v>
      </c>
      <c r="M15" s="10">
        <f>DATOS_Pagos_Status!K9</f>
        <v>75.040000000000006</v>
      </c>
      <c r="N15" s="8"/>
    </row>
    <row r="16" spans="1:14" ht="16.5" customHeight="1" x14ac:dyDescent="0.35">
      <c r="B16" s="2" t="str">
        <f>DATOS_Categorías!A10</f>
        <v>Bebes</v>
      </c>
      <c r="C16" s="3">
        <f>DATOS_Categorías!B10</f>
        <v>3261</v>
      </c>
      <c r="D16" s="4">
        <f>DATOS_Categorías!C10</f>
        <v>290927.46000000002</v>
      </c>
      <c r="E16" s="5">
        <f>DATOS_Categorías!C10/SUM(DATOS_Categorías!C$4:C$21)</f>
        <v>5.5945878777000684E-2</v>
      </c>
      <c r="F16" s="4">
        <f>DATOS_Categorías!D10</f>
        <v>77.599999999999994</v>
      </c>
      <c r="G16" s="6">
        <f>DATOS_Categorías!F10</f>
        <v>4.0599999999999996</v>
      </c>
      <c r="I16" s="7" t="str">
        <f>DATOS_Pagos_Status!H10</f>
        <v>approved</v>
      </c>
      <c r="J16" s="3">
        <f>DATOS_Pagos_Status!I10</f>
        <v>601</v>
      </c>
      <c r="K16" s="4">
        <f>DATOS_Pagos_Status!J10</f>
        <v>54981.01</v>
      </c>
      <c r="L16" s="5">
        <f>DATOS_Pagos_Status!I10/SUM(DATOS_Pagos_Status!I$4:I$11)</f>
        <v>1.022108843537415E-2</v>
      </c>
      <c r="M16" s="4">
        <f>DATOS_Pagos_Status!K10</f>
        <v>79.33</v>
      </c>
      <c r="N16" s="2"/>
    </row>
    <row r="17" spans="2:14" ht="16.5" customHeight="1" x14ac:dyDescent="0.35">
      <c r="B17" s="8" t="str">
        <f>DATOS_Categorías!A11</f>
        <v>Informatica Acessorios</v>
      </c>
      <c r="C17" s="9">
        <f>DATOS_Categorías!B11</f>
        <v>3331</v>
      </c>
      <c r="D17" s="10">
        <f>DATOS_Categorías!C11</f>
        <v>289943.56</v>
      </c>
      <c r="E17" s="11">
        <f>DATOS_Categorías!C11/SUM(DATOS_Categorías!C$4:C$21)</f>
        <v>5.5756673020594283E-2</v>
      </c>
      <c r="F17" s="10">
        <f>DATOS_Categorías!D11</f>
        <v>75.61</v>
      </c>
      <c r="G17" s="12">
        <f>DATOS_Categorías!F11</f>
        <v>4.0599999999999996</v>
      </c>
      <c r="I17" s="13" t="str">
        <f>DATOS_Pagos_Status!H11</f>
        <v>created</v>
      </c>
      <c r="J17" s="9">
        <f>DATOS_Pagos_Status!I11</f>
        <v>549</v>
      </c>
      <c r="K17" s="10">
        <f>DATOS_Pagos_Status!J11</f>
        <v>48781.19</v>
      </c>
      <c r="L17" s="11">
        <f>DATOS_Pagos_Status!I11/SUM(DATOS_Pagos_Status!I$4:I$11)</f>
        <v>9.3367346938775502E-3</v>
      </c>
      <c r="M17" s="10">
        <f>DATOS_Pagos_Status!K11</f>
        <v>77.040000000000006</v>
      </c>
      <c r="N17" s="8"/>
    </row>
    <row r="18" spans="2:14" ht="16.5" customHeight="1" x14ac:dyDescent="0.35">
      <c r="B18" s="2" t="str">
        <f>DATOS_Categorías!A12</f>
        <v>Perfumaria</v>
      </c>
      <c r="C18" s="3">
        <f>DATOS_Categorías!B12</f>
        <v>3251</v>
      </c>
      <c r="D18" s="4">
        <f>DATOS_Categorías!C12</f>
        <v>288491.96999999997</v>
      </c>
      <c r="E18" s="5">
        <f>DATOS_Categorías!C12/SUM(DATOS_Categorías!C$4:C$21)</f>
        <v>5.5477529628032068E-2</v>
      </c>
      <c r="F18" s="4">
        <f>DATOS_Categorías!D12</f>
        <v>77.25</v>
      </c>
      <c r="G18" s="6">
        <f>DATOS_Categorías!F12</f>
        <v>4.0199999999999996</v>
      </c>
    </row>
    <row r="19" spans="2:14" ht="16.5" customHeight="1" x14ac:dyDescent="0.35">
      <c r="B19" s="8" t="str">
        <f>DATOS_Categorías!A13</f>
        <v>Construcao Ferramentas</v>
      </c>
      <c r="C19" s="9">
        <f>DATOS_Categorías!B13</f>
        <v>3225</v>
      </c>
      <c r="D19" s="10">
        <f>DATOS_Categorías!C13</f>
        <v>288174.33</v>
      </c>
      <c r="E19" s="11">
        <f>DATOS_Categorías!C13/SUM(DATOS_Categorías!C$4:C$21)</f>
        <v>5.541644687931277E-2</v>
      </c>
      <c r="F19" s="10">
        <f>DATOS_Categorías!D13</f>
        <v>77.63</v>
      </c>
      <c r="G19" s="12">
        <f>DATOS_Categorías!F13</f>
        <v>4.0199999999999996</v>
      </c>
    </row>
    <row r="20" spans="2:14" ht="16.5" customHeight="1" x14ac:dyDescent="0.35">
      <c r="B20" s="2" t="str">
        <f>DATOS_Categorías!A14</f>
        <v>Utilidades Domesticas</v>
      </c>
      <c r="C20" s="3">
        <f>DATOS_Categorías!B14</f>
        <v>3319</v>
      </c>
      <c r="D20" s="4">
        <f>DATOS_Categorías!C14</f>
        <v>287548.46000000002</v>
      </c>
      <c r="E20" s="5">
        <f>DATOS_Categorías!C14/SUM(DATOS_Categorías!C$4:C$21)</f>
        <v>5.5296090941959315E-2</v>
      </c>
      <c r="F20" s="4">
        <f>DATOS_Categorías!D14</f>
        <v>75.349999999999994</v>
      </c>
      <c r="G20" s="6">
        <f>DATOS_Categorías!F14</f>
        <v>4.04</v>
      </c>
    </row>
    <row r="21" spans="2:14" ht="16.5" customHeight="1" x14ac:dyDescent="0.35">
      <c r="B21" s="8" t="str">
        <f>DATOS_Categorías!A15</f>
        <v>Ferramentas Jardim</v>
      </c>
      <c r="C21" s="9">
        <f>DATOS_Categorías!B15</f>
        <v>3220</v>
      </c>
      <c r="D21" s="10">
        <f>DATOS_Categorías!C15</f>
        <v>286743.07</v>
      </c>
      <c r="E21" s="11">
        <f>DATOS_Categorías!C15/SUM(DATOS_Categorías!C$4:C$21)</f>
        <v>5.5141212982662488E-2</v>
      </c>
      <c r="F21" s="10">
        <f>DATOS_Categorías!D15</f>
        <v>77.62</v>
      </c>
      <c r="G21" s="12">
        <f>DATOS_Categorías!F15</f>
        <v>4.05</v>
      </c>
    </row>
    <row r="22" spans="2:14" ht="16.5" customHeight="1" x14ac:dyDescent="0.35">
      <c r="B22" s="2" t="str">
        <f>DATOS_Categorías!A16</f>
        <v>Cool Stuff</v>
      </c>
      <c r="C22" s="3">
        <f>DATOS_Categorías!B16</f>
        <v>3242</v>
      </c>
      <c r="D22" s="4">
        <f>DATOS_Categorías!C16</f>
        <v>285465.84999999998</v>
      </c>
      <c r="E22" s="5">
        <f>DATOS_Categorías!C16/SUM(DATOS_Categorías!C$4:C$21)</f>
        <v>5.4895601257693098E-2</v>
      </c>
      <c r="F22" s="4">
        <f>DATOS_Categorías!D16</f>
        <v>76.66</v>
      </c>
      <c r="G22" s="6">
        <f>DATOS_Categorías!F16</f>
        <v>4.08</v>
      </c>
    </row>
    <row r="23" spans="2:14" ht="16.5" customHeight="1" x14ac:dyDescent="0.35">
      <c r="B23" s="8" t="str">
        <f>DATOS_Categorías!A17</f>
        <v>Brinquedos</v>
      </c>
      <c r="C23" s="9">
        <f>DATOS_Categorías!B17</f>
        <v>3238</v>
      </c>
      <c r="D23" s="10">
        <f>DATOS_Categorías!C17</f>
        <v>285047.76</v>
      </c>
      <c r="E23" s="11">
        <f>DATOS_Categorías!C17/SUM(DATOS_Categorías!C$4:C$21)</f>
        <v>5.4815201791592945E-2</v>
      </c>
      <c r="F23" s="10">
        <f>DATOS_Categorías!D17</f>
        <v>76.55</v>
      </c>
      <c r="G23" s="12">
        <f>DATOS_Categorías!F17</f>
        <v>4.07</v>
      </c>
    </row>
    <row r="24" spans="2:14" ht="16.5" customHeight="1" x14ac:dyDescent="0.35">
      <c r="B24" s="2" t="str">
        <f>DATOS_Categorías!A18</f>
        <v>Beleza Saude</v>
      </c>
      <c r="C24" s="3">
        <f>DATOS_Categorías!B18</f>
        <v>3232</v>
      </c>
      <c r="D24" s="4">
        <f>DATOS_Categorías!C18</f>
        <v>281715.32</v>
      </c>
      <c r="E24" s="5">
        <f>DATOS_Categorías!C18/SUM(DATOS_Categorías!C$4:C$21)</f>
        <v>5.4174367529087684E-2</v>
      </c>
      <c r="F24" s="4">
        <f>DATOS_Categorías!D18</f>
        <v>75.92</v>
      </c>
      <c r="G24" s="6">
        <f>DATOS_Categorías!F18</f>
        <v>4.03</v>
      </c>
    </row>
    <row r="25" spans="2:14" ht="16.5" customHeight="1" x14ac:dyDescent="0.35">
      <c r="B25" s="8" t="str">
        <f>DATOS_Categorías!A19</f>
        <v>Automotivo</v>
      </c>
      <c r="C25" s="9">
        <f>DATOS_Categorías!B19</f>
        <v>3221</v>
      </c>
      <c r="D25" s="10">
        <f>DATOS_Categorías!C19</f>
        <v>281289.68</v>
      </c>
      <c r="E25" s="11">
        <f>DATOS_Categorías!C19/SUM(DATOS_Categorías!C$4:C$21)</f>
        <v>5.4092516184279453E-2</v>
      </c>
      <c r="F25" s="10">
        <f>DATOS_Categorías!D19</f>
        <v>76.02</v>
      </c>
      <c r="G25" s="12">
        <f>DATOS_Categorías!F19</f>
        <v>4.05</v>
      </c>
    </row>
    <row r="26" spans="2:14" ht="16.5" customHeight="1" x14ac:dyDescent="0.35">
      <c r="B26" s="2" t="str">
        <f>DATOS_Categorías!A20</f>
        <v>Esporte Lazer</v>
      </c>
      <c r="C26" s="3">
        <f>DATOS_Categorías!B20</f>
        <v>3185</v>
      </c>
      <c r="D26" s="4">
        <f>DATOS_Categorías!C20</f>
        <v>277805.33</v>
      </c>
      <c r="E26" s="5">
        <f>DATOS_Categorías!C20/SUM(DATOS_Categorías!C$4:C$21)</f>
        <v>5.3422469352960598E-2</v>
      </c>
      <c r="F26" s="4">
        <f>DATOS_Categorías!D20</f>
        <v>75.87</v>
      </c>
      <c r="G26" s="6">
        <f>DATOS_Categorías!F20</f>
        <v>4.07</v>
      </c>
    </row>
    <row r="27" spans="2:14" ht="16.5" customHeight="1" x14ac:dyDescent="0.35">
      <c r="B27" s="8" t="str">
        <f>DATOS_Categorías!A21</f>
        <v>Moveis Decoracao</v>
      </c>
      <c r="C27" s="9">
        <f>DATOS_Categorías!B21</f>
        <v>3151</v>
      </c>
      <c r="D27" s="10">
        <f>DATOS_Categorías!C21</f>
        <v>271931.99</v>
      </c>
      <c r="E27" s="11">
        <f>DATOS_Categorías!C21/SUM(DATOS_Categorías!C$4:C$21)</f>
        <v>5.2293015407100317E-2</v>
      </c>
      <c r="F27" s="10">
        <f>DATOS_Categorías!D21</f>
        <v>75.05</v>
      </c>
      <c r="G27" s="12">
        <f>DATOS_Categorías!F21</f>
        <v>4.0599999999999996</v>
      </c>
    </row>
  </sheetData>
  <mergeCells count="22">
    <mergeCell ref="A1:N1"/>
    <mergeCell ref="A2:N2"/>
    <mergeCell ref="B4:C4"/>
    <mergeCell ref="D4:E4"/>
    <mergeCell ref="F4:G4"/>
    <mergeCell ref="H4:I4"/>
    <mergeCell ref="J4:K4"/>
    <mergeCell ref="L4:M4"/>
    <mergeCell ref="B8:G8"/>
    <mergeCell ref="I8:N8"/>
    <mergeCell ref="L5:M5"/>
    <mergeCell ref="B6:C6"/>
    <mergeCell ref="D6:E6"/>
    <mergeCell ref="F6:G6"/>
    <mergeCell ref="H6:I6"/>
    <mergeCell ref="J6:K6"/>
    <mergeCell ref="L6:M6"/>
    <mergeCell ref="B5:C5"/>
    <mergeCell ref="D5:E5"/>
    <mergeCell ref="F5:G5"/>
    <mergeCell ref="H5:I5"/>
    <mergeCell ref="J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showGridLines="0" zoomScaleNormal="100" workbookViewId="0">
      <selection sqref="A1:L1"/>
    </sheetView>
  </sheetViews>
  <sheetFormatPr baseColWidth="10" defaultColWidth="8.6328125" defaultRowHeight="14.5" x14ac:dyDescent="0.35"/>
  <cols>
    <col min="1" max="2" width="12" customWidth="1"/>
    <col min="3" max="3" width="14" customWidth="1"/>
    <col min="4" max="4" width="20" customWidth="1"/>
    <col min="5" max="5" width="18" customWidth="1"/>
    <col min="6" max="6" width="14" customWidth="1"/>
    <col min="7" max="7" width="2" customWidth="1"/>
    <col min="8" max="8" width="16" customWidth="1"/>
    <col min="9" max="9" width="14" customWidth="1"/>
    <col min="10" max="12" width="16" customWidth="1"/>
    <col min="13" max="13" width="11.453125" bestFit="1" customWidth="1"/>
  </cols>
  <sheetData>
    <row r="1" spans="1:14" ht="34.5" customHeight="1" x14ac:dyDescent="0.35">
      <c r="A1" s="33" t="s">
        <v>24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4" ht="15.75" customHeight="1" x14ac:dyDescent="0.35">
      <c r="A2" s="34" t="s">
        <v>25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7.5" customHeight="1" x14ac:dyDescent="0.35"/>
    <row r="4" spans="1:14" ht="18" x14ac:dyDescent="0.4">
      <c r="A4" s="35">
        <f>SUMPRODUCT(DATOS_Logística!B4:B23*DATOS_Logística!C4:C23)/SUM(DATOS_Logística!B4:B23)</f>
        <v>0.11833488228004957</v>
      </c>
      <c r="B4" s="35"/>
      <c r="C4" s="36" t="s">
        <v>26</v>
      </c>
      <c r="D4" s="36"/>
      <c r="E4" s="37">
        <f>SUMPRODUCT(DATOS_Logística!B4:B23*DATOS_Logística!E4:E23)/SUM(DATOS_Logística!B4:B23)</f>
        <v>8.8802060099132625</v>
      </c>
      <c r="F4" s="37"/>
    </row>
    <row r="5" spans="1:14" ht="18" x14ac:dyDescent="0.4">
      <c r="A5" s="35"/>
      <c r="B5" s="35"/>
      <c r="C5" s="38">
        <f>SUMPRODUCT(DATOS_Logística!B4:B23*DATOS_Logística!D4:D23)/SUM(DATOS_Logística!B4:B23)</f>
        <v>-5.6222203044786685</v>
      </c>
      <c r="D5" s="38"/>
      <c r="E5" s="39" t="s">
        <v>27</v>
      </c>
      <c r="F5" s="39"/>
    </row>
    <row r="6" spans="1:14" x14ac:dyDescent="0.35">
      <c r="A6" s="35"/>
      <c r="B6" s="35"/>
      <c r="C6" s="40" t="s">
        <v>28</v>
      </c>
      <c r="D6" s="40"/>
    </row>
    <row r="7" spans="1:14" ht="7.5" customHeight="1" x14ac:dyDescent="0.35"/>
    <row r="8" spans="1:14" ht="19.5" customHeight="1" x14ac:dyDescent="0.35">
      <c r="A8" s="14" t="s">
        <v>22</v>
      </c>
      <c r="B8" s="14" t="s">
        <v>17</v>
      </c>
      <c r="C8" s="14" t="s">
        <v>29</v>
      </c>
      <c r="D8" s="14" t="s">
        <v>30</v>
      </c>
      <c r="E8" s="14" t="s">
        <v>31</v>
      </c>
      <c r="F8" s="14" t="s">
        <v>32</v>
      </c>
      <c r="H8" s="14" t="s">
        <v>33</v>
      </c>
      <c r="I8" s="14" t="s">
        <v>17</v>
      </c>
      <c r="J8" s="14" t="s">
        <v>34</v>
      </c>
      <c r="K8" s="14" t="s">
        <v>35</v>
      </c>
      <c r="L8" s="14" t="s">
        <v>36</v>
      </c>
      <c r="M8" s="14" t="s">
        <v>37</v>
      </c>
      <c r="N8" s="14" t="s">
        <v>38</v>
      </c>
    </row>
    <row r="9" spans="1:14" ht="16.5" customHeight="1" x14ac:dyDescent="0.35">
      <c r="A9" s="7" t="str">
        <f>DATOS_Logística!A4</f>
        <v>AL</v>
      </c>
      <c r="B9" s="3">
        <f>DATOS_Logística!B4</f>
        <v>260</v>
      </c>
      <c r="C9" s="5">
        <f>DATOS_Logística!C4</f>
        <v>0.15</v>
      </c>
      <c r="D9" s="15">
        <f>DATOS_Logística!D4</f>
        <v>-5.72</v>
      </c>
      <c r="E9" s="15">
        <f>DATOS_Logística!E4</f>
        <v>8.69</v>
      </c>
      <c r="F9" s="6">
        <f>DATOS_Logística!F4</f>
        <v>4.07</v>
      </c>
      <c r="H9" s="2" t="str">
        <f>DATOS_DataCo!A4</f>
        <v>First Class</v>
      </c>
      <c r="I9" s="3">
        <f>DATOS_DataCo!B4</f>
        <v>8302</v>
      </c>
      <c r="J9" s="5">
        <f>DATOS_DataCo!C4</f>
        <v>0.55000000000000004</v>
      </c>
      <c r="K9" s="15">
        <f>DATOS_DataCo!D4</f>
        <v>5.15</v>
      </c>
      <c r="L9" s="15">
        <f>DATOS_DataCo!E4</f>
        <v>3.82</v>
      </c>
      <c r="M9" s="4">
        <f>DATOS_DataCo!F4</f>
        <v>2071210.31</v>
      </c>
      <c r="N9" s="4">
        <f>DATOS_DataCo!G4</f>
        <v>3.73</v>
      </c>
    </row>
    <row r="10" spans="1:14" ht="16.5" customHeight="1" x14ac:dyDescent="0.35">
      <c r="A10" s="13" t="str">
        <f>DATOS_Logística!A5</f>
        <v>ES</v>
      </c>
      <c r="B10" s="9">
        <f>DATOS_Logística!B5</f>
        <v>426</v>
      </c>
      <c r="C10" s="11">
        <f>DATOS_Logística!C5</f>
        <v>0.15</v>
      </c>
      <c r="D10" s="16">
        <f>DATOS_Logística!D5</f>
        <v>-5.27</v>
      </c>
      <c r="E10" s="16">
        <f>DATOS_Logística!E5</f>
        <v>9.1</v>
      </c>
      <c r="F10" s="12">
        <f>DATOS_Logística!F5</f>
        <v>4.0599999999999996</v>
      </c>
      <c r="H10" s="8" t="str">
        <f>DATOS_DataCo!A5</f>
        <v>Standard Class</v>
      </c>
      <c r="I10" s="9">
        <f>DATOS_DataCo!B5</f>
        <v>32973</v>
      </c>
      <c r="J10" s="11">
        <f>DATOS_DataCo!C5</f>
        <v>0.55000000000000004</v>
      </c>
      <c r="K10" s="16">
        <f>DATOS_DataCo!D5</f>
        <v>5.13</v>
      </c>
      <c r="L10" s="16">
        <f>DATOS_DataCo!E5</f>
        <v>3.83</v>
      </c>
      <c r="M10" s="10">
        <f>DATOS_DataCo!F5</f>
        <v>8033553.0999999996</v>
      </c>
      <c r="N10" s="10">
        <f>DATOS_DataCo!G5</f>
        <v>3.72</v>
      </c>
    </row>
    <row r="11" spans="1:14" ht="16.5" customHeight="1" x14ac:dyDescent="0.35">
      <c r="A11" s="7" t="str">
        <f>DATOS_Logística!A6</f>
        <v>SE</v>
      </c>
      <c r="B11" s="3">
        <f>DATOS_Logística!B6</f>
        <v>124</v>
      </c>
      <c r="C11" s="5">
        <f>DATOS_Logística!C6</f>
        <v>0.14000000000000001</v>
      </c>
      <c r="D11" s="15">
        <f>DATOS_Logística!D6</f>
        <v>-5.96</v>
      </c>
      <c r="E11" s="15">
        <f>DATOS_Logística!E6</f>
        <v>8.44</v>
      </c>
      <c r="F11" s="6">
        <f>DATOS_Logística!F6</f>
        <v>4.0999999999999996</v>
      </c>
      <c r="H11" s="2" t="str">
        <f>DATOS_DataCo!A6</f>
        <v>Second Class</v>
      </c>
      <c r="I11" s="3">
        <f>DATOS_DataCo!B6</f>
        <v>10957</v>
      </c>
      <c r="J11" s="5">
        <f>DATOS_DataCo!C6</f>
        <v>0.54</v>
      </c>
      <c r="K11" s="15">
        <f>DATOS_DataCo!D6</f>
        <v>5.1100000000000003</v>
      </c>
      <c r="L11" s="15">
        <f>DATOS_DataCo!E6</f>
        <v>3.82</v>
      </c>
      <c r="M11" s="4">
        <f>DATOS_DataCo!F6</f>
        <v>2639033.9</v>
      </c>
      <c r="N11" s="4">
        <f>DATOS_DataCo!G6</f>
        <v>3.91</v>
      </c>
    </row>
    <row r="12" spans="1:14" ht="16.5" customHeight="1" x14ac:dyDescent="0.35">
      <c r="A12" s="13" t="str">
        <f>DATOS_Logística!A7</f>
        <v>BA</v>
      </c>
      <c r="B12" s="9">
        <f>DATOS_Logística!B7</f>
        <v>1407</v>
      </c>
      <c r="C12" s="11">
        <f>DATOS_Logística!C7</f>
        <v>0.13</v>
      </c>
      <c r="D12" s="16">
        <f>DATOS_Logística!D7</f>
        <v>-5.46</v>
      </c>
      <c r="E12" s="16">
        <f>DATOS_Logística!E7</f>
        <v>8.93</v>
      </c>
      <c r="F12" s="12">
        <f>DATOS_Logística!F7</f>
        <v>4.0599999999999996</v>
      </c>
      <c r="H12" s="8" t="str">
        <f>DATOS_DataCo!A7</f>
        <v>Same Day</v>
      </c>
      <c r="I12" s="9">
        <f>DATOS_DataCo!B7</f>
        <v>2768</v>
      </c>
      <c r="J12" s="11">
        <f>DATOS_DataCo!C7</f>
        <v>0.53</v>
      </c>
      <c r="K12" s="16">
        <f>DATOS_DataCo!D7</f>
        <v>5.08</v>
      </c>
      <c r="L12" s="16">
        <f>DATOS_DataCo!E7</f>
        <v>3.84</v>
      </c>
      <c r="M12" s="10">
        <f>DATOS_DataCo!F7</f>
        <v>688212.33</v>
      </c>
      <c r="N12" s="10">
        <f>DATOS_DataCo!G7</f>
        <v>3.63</v>
      </c>
    </row>
    <row r="13" spans="1:14" ht="16.5" customHeight="1" x14ac:dyDescent="0.35">
      <c r="A13" s="7" t="str">
        <f>DATOS_Logística!A8</f>
        <v>PA</v>
      </c>
      <c r="B13" s="3">
        <f>DATOS_Logística!B8</f>
        <v>428</v>
      </c>
      <c r="C13" s="5">
        <f>DATOS_Logística!C8</f>
        <v>0.13</v>
      </c>
      <c r="D13" s="15">
        <f>DATOS_Logística!D8</f>
        <v>-5.66</v>
      </c>
      <c r="E13" s="15">
        <f>DATOS_Logística!E8</f>
        <v>8.7100000000000009</v>
      </c>
      <c r="F13" s="6">
        <f>DATOS_Logística!F8</f>
        <v>4.07</v>
      </c>
    </row>
    <row r="14" spans="1:14" ht="16.5" customHeight="1" x14ac:dyDescent="0.35">
      <c r="A14" s="13" t="str">
        <f>DATOS_Logística!A9</f>
        <v>RS</v>
      </c>
      <c r="B14" s="9">
        <f>DATOS_Logística!B9</f>
        <v>2768</v>
      </c>
      <c r="C14" s="11">
        <f>DATOS_Logística!C9</f>
        <v>0.13</v>
      </c>
      <c r="D14" s="16">
        <f>DATOS_Logística!D9</f>
        <v>-5.54</v>
      </c>
      <c r="E14" s="16">
        <f>DATOS_Logística!E9</f>
        <v>8.94</v>
      </c>
      <c r="F14" s="12">
        <f>DATOS_Logística!F9</f>
        <v>4.05</v>
      </c>
    </row>
    <row r="15" spans="1:14" ht="16.5" customHeight="1" x14ac:dyDescent="0.35">
      <c r="A15" s="7" t="str">
        <f>DATOS_Logística!A10</f>
        <v>GO</v>
      </c>
      <c r="B15" s="3">
        <f>DATOS_Logística!B10</f>
        <v>879</v>
      </c>
      <c r="C15" s="5">
        <f>DATOS_Logística!C10</f>
        <v>0.12</v>
      </c>
      <c r="D15" s="15">
        <f>DATOS_Logística!D10</f>
        <v>-5.77</v>
      </c>
      <c r="E15" s="15">
        <f>DATOS_Logística!E10</f>
        <v>8.8800000000000008</v>
      </c>
      <c r="F15" s="6">
        <f>DATOS_Logística!F10</f>
        <v>4.07</v>
      </c>
    </row>
    <row r="16" spans="1:14" ht="16.5" customHeight="1" x14ac:dyDescent="0.35">
      <c r="A16" s="13" t="str">
        <f>DATOS_Logística!A11</f>
        <v>SP</v>
      </c>
      <c r="B16" s="9">
        <f>DATOS_Logística!B11</f>
        <v>18976</v>
      </c>
      <c r="C16" s="11">
        <f>DATOS_Logística!C11</f>
        <v>0.12</v>
      </c>
      <c r="D16" s="16">
        <f>DATOS_Logística!D11</f>
        <v>-5.62</v>
      </c>
      <c r="E16" s="16">
        <f>DATOS_Logística!E11</f>
        <v>8.89</v>
      </c>
      <c r="F16" s="12">
        <f>DATOS_Logística!F11</f>
        <v>4.05</v>
      </c>
    </row>
    <row r="17" spans="1:6" ht="16.5" customHeight="1" x14ac:dyDescent="0.35">
      <c r="A17" s="7" t="str">
        <f>DATOS_Logística!A12</f>
        <v>MG</v>
      </c>
      <c r="B17" s="3">
        <f>DATOS_Logística!B12</f>
        <v>5508</v>
      </c>
      <c r="C17" s="5">
        <f>DATOS_Logística!C12</f>
        <v>0.12</v>
      </c>
      <c r="D17" s="15">
        <f>DATOS_Logística!D12</f>
        <v>-5.61</v>
      </c>
      <c r="E17" s="15">
        <f>DATOS_Logística!E12</f>
        <v>8.9</v>
      </c>
      <c r="F17" s="6">
        <f>DATOS_Logística!F12</f>
        <v>4.07</v>
      </c>
    </row>
    <row r="18" spans="1:6" ht="16.5" customHeight="1" x14ac:dyDescent="0.35">
      <c r="A18" s="13" t="str">
        <f>DATOS_Logística!A13</f>
        <v>SC</v>
      </c>
      <c r="B18" s="9">
        <f>DATOS_Logística!B13</f>
        <v>1888</v>
      </c>
      <c r="C18" s="11">
        <f>DATOS_Logística!C13</f>
        <v>0.12</v>
      </c>
      <c r="D18" s="16">
        <f>DATOS_Logística!D13</f>
        <v>-5.64</v>
      </c>
      <c r="E18" s="16">
        <f>DATOS_Logística!E13</f>
        <v>8.85</v>
      </c>
      <c r="F18" s="12">
        <f>DATOS_Logística!F13</f>
        <v>4.0599999999999996</v>
      </c>
    </row>
    <row r="19" spans="1:6" ht="16.5" customHeight="1" x14ac:dyDescent="0.35">
      <c r="A19" s="7" t="str">
        <f>DATOS_Logística!A14</f>
        <v>PR</v>
      </c>
      <c r="B19" s="3">
        <f>DATOS_Logística!B14</f>
        <v>2664</v>
      </c>
      <c r="C19" s="5">
        <f>DATOS_Logística!C14</f>
        <v>0.12</v>
      </c>
      <c r="D19" s="15">
        <f>DATOS_Logística!D14</f>
        <v>-5.6</v>
      </c>
      <c r="E19" s="15">
        <f>DATOS_Logística!E14</f>
        <v>8.8800000000000008</v>
      </c>
      <c r="F19" s="6">
        <f>DATOS_Logística!F14</f>
        <v>4.0199999999999996</v>
      </c>
    </row>
    <row r="20" spans="1:6" ht="16.5" customHeight="1" x14ac:dyDescent="0.35">
      <c r="A20" s="13" t="str">
        <f>DATOS_Logística!A15</f>
        <v>RJ</v>
      </c>
      <c r="B20" s="9">
        <f>DATOS_Logística!B15</f>
        <v>5884</v>
      </c>
      <c r="C20" s="11">
        <f>DATOS_Logística!C15</f>
        <v>0.11</v>
      </c>
      <c r="D20" s="16">
        <f>DATOS_Logística!D15</f>
        <v>-5.62</v>
      </c>
      <c r="E20" s="16">
        <f>DATOS_Logística!E15</f>
        <v>8.8699999999999992</v>
      </c>
      <c r="F20" s="12">
        <f>DATOS_Logística!F15</f>
        <v>4.04</v>
      </c>
    </row>
    <row r="21" spans="1:6" ht="16.5" customHeight="1" x14ac:dyDescent="0.35">
      <c r="A21" s="7" t="str">
        <f>DATOS_Logística!A16</f>
        <v>PB</v>
      </c>
      <c r="B21" s="3">
        <f>DATOS_Logística!B16</f>
        <v>446</v>
      </c>
      <c r="C21" s="5">
        <f>DATOS_Logística!C16</f>
        <v>0.11</v>
      </c>
      <c r="D21" s="15">
        <f>DATOS_Logística!D16</f>
        <v>-5.62</v>
      </c>
      <c r="E21" s="15">
        <f>DATOS_Logística!E16</f>
        <v>8.86</v>
      </c>
      <c r="F21" s="6">
        <f>DATOS_Logística!F16</f>
        <v>4.08</v>
      </c>
    </row>
    <row r="22" spans="1:6" ht="16.5" customHeight="1" x14ac:dyDescent="0.35">
      <c r="A22" s="13" t="str">
        <f>DATOS_Logística!A17</f>
        <v>RN</v>
      </c>
      <c r="B22" s="9">
        <f>DATOS_Logística!B17</f>
        <v>483</v>
      </c>
      <c r="C22" s="11">
        <f>DATOS_Logística!C17</f>
        <v>0.11</v>
      </c>
      <c r="D22" s="16">
        <f>DATOS_Logística!D17</f>
        <v>-5.89</v>
      </c>
      <c r="E22" s="16">
        <f>DATOS_Logística!E17</f>
        <v>8.68</v>
      </c>
      <c r="F22" s="12">
        <f>DATOS_Logística!F17</f>
        <v>4.2</v>
      </c>
    </row>
    <row r="23" spans="1:6" ht="16.5" customHeight="1" x14ac:dyDescent="0.35">
      <c r="A23" s="7" t="str">
        <f>DATOS_Logística!A18</f>
        <v>MS</v>
      </c>
      <c r="B23" s="3">
        <f>DATOS_Logística!B18</f>
        <v>453</v>
      </c>
      <c r="C23" s="5">
        <f>DATOS_Logística!C18</f>
        <v>0.1</v>
      </c>
      <c r="D23" s="15">
        <f>DATOS_Logística!D18</f>
        <v>-5.74</v>
      </c>
      <c r="E23" s="15">
        <f>DATOS_Logística!E18</f>
        <v>8.9600000000000009</v>
      </c>
      <c r="F23" s="6">
        <f>DATOS_Logística!F18</f>
        <v>4.07</v>
      </c>
    </row>
    <row r="24" spans="1:6" ht="16.5" customHeight="1" x14ac:dyDescent="0.35">
      <c r="A24" s="13" t="str">
        <f>DATOS_Logística!A19</f>
        <v>CE</v>
      </c>
      <c r="B24" s="9">
        <f>DATOS_Logística!B19</f>
        <v>894</v>
      </c>
      <c r="C24" s="11">
        <f>DATOS_Logística!C19</f>
        <v>0.1</v>
      </c>
      <c r="D24" s="16">
        <f>DATOS_Logística!D19</f>
        <v>-5.67</v>
      </c>
      <c r="E24" s="16">
        <f>DATOS_Logística!E19</f>
        <v>8.86</v>
      </c>
      <c r="F24" s="12">
        <f>DATOS_Logística!F19</f>
        <v>4.07</v>
      </c>
    </row>
    <row r="25" spans="1:6" ht="16.5" customHeight="1" x14ac:dyDescent="0.35">
      <c r="A25" s="7" t="str">
        <f>DATOS_Logística!A20</f>
        <v>PE</v>
      </c>
      <c r="B25" s="3">
        <f>DATOS_Logística!B20</f>
        <v>915</v>
      </c>
      <c r="C25" s="5">
        <f>DATOS_Logística!C20</f>
        <v>0.1</v>
      </c>
      <c r="D25" s="15">
        <f>DATOS_Logística!D20</f>
        <v>-5.63</v>
      </c>
      <c r="E25" s="15">
        <f>DATOS_Logística!E20</f>
        <v>8.76</v>
      </c>
      <c r="F25" s="6">
        <f>DATOS_Logística!F20</f>
        <v>4.08</v>
      </c>
    </row>
    <row r="26" spans="1:6" ht="16.5" customHeight="1" x14ac:dyDescent="0.35">
      <c r="A26" s="13" t="str">
        <f>DATOS_Logística!A21</f>
        <v>MT</v>
      </c>
      <c r="B26" s="9">
        <f>DATOS_Logística!B21</f>
        <v>424</v>
      </c>
      <c r="C26" s="11">
        <f>DATOS_Logística!C21</f>
        <v>0.09</v>
      </c>
      <c r="D26" s="16">
        <f>DATOS_Logística!D21</f>
        <v>-5.87</v>
      </c>
      <c r="E26" s="16">
        <f>DATOS_Logística!E21</f>
        <v>8.66</v>
      </c>
      <c r="F26" s="12">
        <f>DATOS_Logística!F21</f>
        <v>4.01</v>
      </c>
    </row>
    <row r="27" spans="1:6" ht="16.5" customHeight="1" x14ac:dyDescent="0.35">
      <c r="A27" s="7" t="str">
        <f>DATOS_Logística!A22</f>
        <v>MA</v>
      </c>
      <c r="B27" s="3">
        <f>DATOS_Logística!B22</f>
        <v>228</v>
      </c>
      <c r="C27" s="5">
        <f>DATOS_Logística!C22</f>
        <v>7.0000000000000007E-2</v>
      </c>
      <c r="D27" s="15">
        <f>DATOS_Logística!D22</f>
        <v>-6.2</v>
      </c>
      <c r="E27" s="15">
        <f>DATOS_Logística!E22</f>
        <v>8.76</v>
      </c>
      <c r="F27" s="6">
        <f>DATOS_Logística!F22</f>
        <v>3.88</v>
      </c>
    </row>
    <row r="28" spans="1:6" ht="16.5" customHeight="1" x14ac:dyDescent="0.35">
      <c r="A28" s="13" t="str">
        <f>DATOS_Logística!A23</f>
        <v>AM</v>
      </c>
      <c r="B28" s="9">
        <f>DATOS_Logística!B23</f>
        <v>137</v>
      </c>
      <c r="C28" s="11">
        <f>DATOS_Logística!C23</f>
        <v>7.0000000000000007E-2</v>
      </c>
      <c r="D28" s="16">
        <f>DATOS_Logística!D23</f>
        <v>-6.15</v>
      </c>
      <c r="E28" s="16">
        <f>DATOS_Logística!E23</f>
        <v>8.8000000000000007</v>
      </c>
      <c r="F28" s="12">
        <f>DATOS_Logística!F23</f>
        <v>4.0999999999999996</v>
      </c>
    </row>
  </sheetData>
  <mergeCells count="8">
    <mergeCell ref="A1:L1"/>
    <mergeCell ref="A2:L2"/>
    <mergeCell ref="A4:B6"/>
    <mergeCell ref="C4:D4"/>
    <mergeCell ref="E4:F4"/>
    <mergeCell ref="C5:D5"/>
    <mergeCell ref="E5:F5"/>
    <mergeCell ref="C6:D6"/>
  </mergeCells>
  <conditionalFormatting sqref="C9:C2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showGridLines="0" tabSelected="1" zoomScaleNormal="100" workbookViewId="0">
      <selection sqref="A1:P1"/>
    </sheetView>
  </sheetViews>
  <sheetFormatPr baseColWidth="10" defaultColWidth="8.6328125" defaultRowHeight="14.5" x14ac:dyDescent="0.35"/>
  <sheetData>
    <row r="1" spans="1:16" ht="34.5" customHeight="1" x14ac:dyDescent="0.35">
      <c r="A1" s="33" t="s">
        <v>39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15.75" customHeight="1" x14ac:dyDescent="0.35">
      <c r="A2" s="34" t="s">
        <v>40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328125" defaultRowHeight="14.5" x14ac:dyDescent="0.35"/>
  <cols>
    <col min="1" max="1" width="8" customWidth="1"/>
    <col min="2" max="2" width="7" customWidth="1"/>
    <col min="3" max="3" width="10" customWidth="1"/>
    <col min="4" max="4" width="18" customWidth="1"/>
    <col min="5" max="5" width="16" customWidth="1"/>
    <col min="6" max="6" width="13" customWidth="1"/>
    <col min="7" max="7" width="12" customWidth="1"/>
  </cols>
  <sheetData>
    <row r="1" spans="1:7" ht="27.75" customHeight="1" x14ac:dyDescent="0.35">
      <c r="A1" s="41" t="s">
        <v>41</v>
      </c>
      <c r="B1" s="41"/>
      <c r="C1" s="41"/>
      <c r="D1" s="41"/>
      <c r="E1" s="41"/>
      <c r="F1" s="41"/>
      <c r="G1" s="41"/>
    </row>
    <row r="2" spans="1:7" ht="7.5" customHeight="1" x14ac:dyDescent="0.35"/>
    <row r="3" spans="1:7" x14ac:dyDescent="0.35">
      <c r="A3" s="17" t="s">
        <v>42</v>
      </c>
      <c r="B3" s="17" t="s">
        <v>43</v>
      </c>
      <c r="C3" s="17" t="s">
        <v>17</v>
      </c>
      <c r="D3" s="17" t="s">
        <v>44</v>
      </c>
      <c r="E3" s="17" t="s">
        <v>45</v>
      </c>
      <c r="F3" s="17" t="s">
        <v>32</v>
      </c>
      <c r="G3" s="17" t="s">
        <v>29</v>
      </c>
    </row>
    <row r="4" spans="1:7" ht="18" customHeight="1" x14ac:dyDescent="0.35">
      <c r="A4" s="2">
        <v>2016</v>
      </c>
      <c r="B4" s="18">
        <v>9</v>
      </c>
      <c r="C4" s="3">
        <v>2999</v>
      </c>
      <c r="D4" s="4">
        <v>265051.19</v>
      </c>
      <c r="E4" s="4">
        <v>76.78</v>
      </c>
      <c r="F4" s="6">
        <v>4.0599999999999996</v>
      </c>
      <c r="G4" s="5">
        <v>0.12</v>
      </c>
    </row>
    <row r="5" spans="1:7" ht="18" customHeight="1" x14ac:dyDescent="0.35">
      <c r="A5" s="8">
        <v>2016</v>
      </c>
      <c r="B5" s="19">
        <v>10</v>
      </c>
      <c r="C5" s="9">
        <v>3319</v>
      </c>
      <c r="D5" s="10">
        <v>292637.11</v>
      </c>
      <c r="E5" s="10">
        <v>76.569999999999993</v>
      </c>
      <c r="F5" s="12">
        <v>4.04</v>
      </c>
      <c r="G5" s="11">
        <v>0.12</v>
      </c>
    </row>
    <row r="6" spans="1:7" ht="18" customHeight="1" x14ac:dyDescent="0.35">
      <c r="A6" s="2">
        <v>2016</v>
      </c>
      <c r="B6" s="18">
        <v>11</v>
      </c>
      <c r="C6" s="3">
        <v>3216</v>
      </c>
      <c r="D6" s="4">
        <v>279263.90000000002</v>
      </c>
      <c r="E6" s="4">
        <v>75.56</v>
      </c>
      <c r="F6" s="6">
        <v>3.99</v>
      </c>
      <c r="G6" s="5">
        <v>0.12</v>
      </c>
    </row>
    <row r="7" spans="1:7" ht="18" customHeight="1" x14ac:dyDescent="0.35">
      <c r="A7" s="8">
        <v>2016</v>
      </c>
      <c r="B7" s="19">
        <v>12</v>
      </c>
      <c r="C7" s="9">
        <v>3010</v>
      </c>
      <c r="D7" s="10">
        <v>268911.69</v>
      </c>
      <c r="E7" s="10">
        <v>77.73</v>
      </c>
      <c r="F7" s="12">
        <v>4.09</v>
      </c>
      <c r="G7" s="11">
        <v>0.11</v>
      </c>
    </row>
    <row r="8" spans="1:7" ht="18" customHeight="1" x14ac:dyDescent="0.35">
      <c r="A8" s="2">
        <v>2017</v>
      </c>
      <c r="B8" s="18">
        <v>1</v>
      </c>
      <c r="C8" s="3">
        <v>2830</v>
      </c>
      <c r="D8" s="4">
        <v>246523.48</v>
      </c>
      <c r="E8" s="4">
        <v>75.84</v>
      </c>
      <c r="F8" s="6">
        <v>4.04</v>
      </c>
      <c r="G8" s="5">
        <v>0.11</v>
      </c>
    </row>
    <row r="9" spans="1:7" ht="18" customHeight="1" x14ac:dyDescent="0.35">
      <c r="A9" s="8">
        <v>2017</v>
      </c>
      <c r="B9" s="19">
        <v>2</v>
      </c>
      <c r="C9" s="9">
        <v>2354</v>
      </c>
      <c r="D9" s="10">
        <v>209836.67</v>
      </c>
      <c r="E9" s="10">
        <v>77.48</v>
      </c>
      <c r="F9" s="12">
        <v>4.05</v>
      </c>
      <c r="G9" s="11">
        <v>0.11</v>
      </c>
    </row>
    <row r="10" spans="1:7" ht="18" customHeight="1" x14ac:dyDescent="0.35">
      <c r="A10" s="2">
        <v>2017</v>
      </c>
      <c r="B10" s="18">
        <v>3</v>
      </c>
      <c r="C10" s="3">
        <v>2497</v>
      </c>
      <c r="D10" s="4">
        <v>220533.13</v>
      </c>
      <c r="E10" s="4">
        <v>76.75</v>
      </c>
      <c r="F10" s="6">
        <v>4.09</v>
      </c>
      <c r="G10" s="5">
        <v>0.12</v>
      </c>
    </row>
    <row r="11" spans="1:7" ht="18" customHeight="1" x14ac:dyDescent="0.35">
      <c r="A11" s="8">
        <v>2017</v>
      </c>
      <c r="B11" s="19">
        <v>4</v>
      </c>
      <c r="C11" s="9">
        <v>2276</v>
      </c>
      <c r="D11" s="10">
        <v>203483.13</v>
      </c>
      <c r="E11" s="10">
        <v>77.69</v>
      </c>
      <c r="F11" s="12">
        <v>4.08</v>
      </c>
      <c r="G11" s="11">
        <v>0.12</v>
      </c>
    </row>
    <row r="12" spans="1:7" ht="18" customHeight="1" x14ac:dyDescent="0.35">
      <c r="A12" s="2">
        <v>2017</v>
      </c>
      <c r="B12" s="18">
        <v>5</v>
      </c>
      <c r="C12" s="3">
        <v>2222</v>
      </c>
      <c r="D12" s="4">
        <v>192904.16</v>
      </c>
      <c r="E12" s="4">
        <v>75.58</v>
      </c>
      <c r="F12" s="6">
        <v>4.0999999999999996</v>
      </c>
      <c r="G12" s="5">
        <v>0.11</v>
      </c>
    </row>
    <row r="13" spans="1:7" ht="18" customHeight="1" x14ac:dyDescent="0.35">
      <c r="A13" s="8">
        <v>2017</v>
      </c>
      <c r="B13" s="19">
        <v>6</v>
      </c>
      <c r="C13" s="9">
        <v>1932</v>
      </c>
      <c r="D13" s="10">
        <v>169172.4</v>
      </c>
      <c r="E13" s="10">
        <v>76.37</v>
      </c>
      <c r="F13" s="12">
        <v>4.0599999999999996</v>
      </c>
      <c r="G13" s="11">
        <v>0.12</v>
      </c>
    </row>
    <row r="14" spans="1:7" ht="18" customHeight="1" x14ac:dyDescent="0.35">
      <c r="A14" s="2">
        <v>2017</v>
      </c>
      <c r="B14" s="18">
        <v>7</v>
      </c>
      <c r="C14" s="3">
        <v>1930</v>
      </c>
      <c r="D14" s="4">
        <v>165880.71</v>
      </c>
      <c r="E14" s="4">
        <v>74.55</v>
      </c>
      <c r="F14" s="6">
        <v>4.01</v>
      </c>
      <c r="G14" s="5">
        <v>0.12</v>
      </c>
    </row>
    <row r="15" spans="1:7" ht="18" customHeight="1" x14ac:dyDescent="0.35">
      <c r="A15" s="8">
        <v>2017</v>
      </c>
      <c r="B15" s="19">
        <v>8</v>
      </c>
      <c r="C15" s="9">
        <v>1780</v>
      </c>
      <c r="D15" s="10">
        <v>158817.43</v>
      </c>
      <c r="E15" s="10">
        <v>77.53</v>
      </c>
      <c r="F15" s="12">
        <v>4.0999999999999996</v>
      </c>
      <c r="G15" s="11">
        <v>0.12</v>
      </c>
    </row>
    <row r="16" spans="1:7" ht="18" customHeight="1" x14ac:dyDescent="0.35">
      <c r="A16" s="2">
        <v>2017</v>
      </c>
      <c r="B16" s="18">
        <v>9</v>
      </c>
      <c r="C16" s="3">
        <v>1637</v>
      </c>
      <c r="D16" s="4">
        <v>147160.81</v>
      </c>
      <c r="E16" s="4">
        <v>78.180000000000007</v>
      </c>
      <c r="F16" s="6">
        <v>4.01</v>
      </c>
      <c r="G16" s="5">
        <v>0.12</v>
      </c>
    </row>
    <row r="17" spans="1:7" ht="18" customHeight="1" x14ac:dyDescent="0.35">
      <c r="A17" s="8">
        <v>2017</v>
      </c>
      <c r="B17" s="19">
        <v>10</v>
      </c>
      <c r="C17" s="9">
        <v>1597</v>
      </c>
      <c r="D17" s="10">
        <v>137000.85</v>
      </c>
      <c r="E17" s="10">
        <v>74.75</v>
      </c>
      <c r="F17" s="12">
        <v>4.0199999999999996</v>
      </c>
      <c r="G17" s="11">
        <v>0.11</v>
      </c>
    </row>
    <row r="18" spans="1:7" ht="18" customHeight="1" x14ac:dyDescent="0.35">
      <c r="A18" s="2">
        <v>2017</v>
      </c>
      <c r="B18" s="18">
        <v>11</v>
      </c>
      <c r="C18" s="3">
        <v>1511</v>
      </c>
      <c r="D18" s="4">
        <v>137255.81</v>
      </c>
      <c r="E18" s="4">
        <v>78.91</v>
      </c>
      <c r="F18" s="6">
        <v>4.07</v>
      </c>
      <c r="G18" s="5">
        <v>0.12</v>
      </c>
    </row>
    <row r="19" spans="1:7" ht="18" customHeight="1" x14ac:dyDescent="0.35">
      <c r="A19" s="8">
        <v>2017</v>
      </c>
      <c r="B19" s="19">
        <v>12</v>
      </c>
      <c r="C19" s="9">
        <v>1439</v>
      </c>
      <c r="D19" s="10">
        <v>129678.83</v>
      </c>
      <c r="E19" s="10">
        <v>78.3</v>
      </c>
      <c r="F19" s="12">
        <v>4.05</v>
      </c>
      <c r="G19" s="11">
        <v>0.13</v>
      </c>
    </row>
    <row r="20" spans="1:7" ht="18" customHeight="1" x14ac:dyDescent="0.35">
      <c r="A20" s="2">
        <v>2018</v>
      </c>
      <c r="B20" s="18">
        <v>1</v>
      </c>
      <c r="C20" s="3">
        <v>1326</v>
      </c>
      <c r="D20" s="4">
        <v>123929.24</v>
      </c>
      <c r="E20" s="4">
        <v>81.38</v>
      </c>
      <c r="F20" s="6">
        <v>4.05</v>
      </c>
      <c r="G20" s="5">
        <v>0.12</v>
      </c>
    </row>
    <row r="21" spans="1:7" ht="18" customHeight="1" x14ac:dyDescent="0.35">
      <c r="A21" s="8">
        <v>2018</v>
      </c>
      <c r="B21" s="19">
        <v>2</v>
      </c>
      <c r="C21" s="9">
        <v>1109</v>
      </c>
      <c r="D21" s="10">
        <v>94834.81</v>
      </c>
      <c r="E21" s="10">
        <v>74.430000000000007</v>
      </c>
      <c r="F21" s="12">
        <v>4.13</v>
      </c>
      <c r="G21" s="11">
        <v>0.12</v>
      </c>
    </row>
    <row r="22" spans="1:7" ht="18" customHeight="1" x14ac:dyDescent="0.35">
      <c r="A22" s="2">
        <v>2018</v>
      </c>
      <c r="B22" s="18">
        <v>3</v>
      </c>
      <c r="C22" s="3">
        <v>1228</v>
      </c>
      <c r="D22" s="4">
        <v>110241.28</v>
      </c>
      <c r="E22" s="4">
        <v>78.02</v>
      </c>
      <c r="F22" s="6">
        <v>4</v>
      </c>
      <c r="G22" s="5">
        <v>0.13</v>
      </c>
    </row>
    <row r="23" spans="1:7" ht="18" customHeight="1" x14ac:dyDescent="0.35">
      <c r="A23" s="8">
        <v>2018</v>
      </c>
      <c r="B23" s="19">
        <v>4</v>
      </c>
      <c r="C23" s="9">
        <v>1065</v>
      </c>
      <c r="D23" s="10">
        <v>95933.9</v>
      </c>
      <c r="E23" s="10">
        <v>78.180000000000007</v>
      </c>
      <c r="F23" s="12">
        <v>4.03</v>
      </c>
      <c r="G23" s="11">
        <v>0.12</v>
      </c>
    </row>
    <row r="24" spans="1:7" ht="18" customHeight="1" x14ac:dyDescent="0.35">
      <c r="A24" s="2">
        <v>2018</v>
      </c>
      <c r="B24" s="18">
        <v>5</v>
      </c>
      <c r="C24" s="3">
        <v>1080</v>
      </c>
      <c r="D24" s="4">
        <v>95819.35</v>
      </c>
      <c r="E24" s="4">
        <v>77.02</v>
      </c>
      <c r="F24" s="6">
        <v>4.09</v>
      </c>
      <c r="G24" s="5">
        <v>0.12</v>
      </c>
    </row>
    <row r="25" spans="1:7" ht="18" customHeight="1" x14ac:dyDescent="0.35">
      <c r="A25" s="8">
        <v>2018</v>
      </c>
      <c r="B25" s="19">
        <v>6</v>
      </c>
      <c r="C25" s="9">
        <v>944</v>
      </c>
      <c r="D25" s="10">
        <v>81701.17</v>
      </c>
      <c r="E25" s="10">
        <v>75.11</v>
      </c>
      <c r="F25" s="12">
        <v>4.03</v>
      </c>
      <c r="G25" s="11">
        <v>0.11</v>
      </c>
    </row>
    <row r="26" spans="1:7" ht="18" customHeight="1" x14ac:dyDescent="0.35">
      <c r="A26" s="2">
        <v>2018</v>
      </c>
      <c r="B26" s="18">
        <v>7</v>
      </c>
      <c r="C26" s="3">
        <v>913</v>
      </c>
      <c r="D26" s="4">
        <v>82021.56</v>
      </c>
      <c r="E26" s="4">
        <v>78.31</v>
      </c>
      <c r="F26" s="6">
        <v>3.95</v>
      </c>
      <c r="G26" s="5">
        <v>0.13</v>
      </c>
    </row>
    <row r="27" spans="1:7" ht="18" customHeight="1" x14ac:dyDescent="0.35">
      <c r="A27" s="8">
        <v>2018</v>
      </c>
      <c r="B27" s="19">
        <v>8</v>
      </c>
      <c r="C27" s="9">
        <v>795</v>
      </c>
      <c r="D27" s="10">
        <v>71493.8</v>
      </c>
      <c r="E27" s="10">
        <v>78.39</v>
      </c>
      <c r="F27" s="12">
        <v>4.13</v>
      </c>
      <c r="G27" s="11">
        <v>0.11</v>
      </c>
    </row>
    <row r="28" spans="1:7" ht="18" customHeight="1" x14ac:dyDescent="0.35">
      <c r="A28" s="2">
        <v>2018</v>
      </c>
      <c r="B28" s="18">
        <v>9</v>
      </c>
      <c r="C28" s="3">
        <v>796</v>
      </c>
      <c r="D28" s="4">
        <v>71028.38</v>
      </c>
      <c r="E28" s="4">
        <v>77.8</v>
      </c>
      <c r="F28" s="6">
        <v>4.07</v>
      </c>
      <c r="G28" s="5">
        <v>0.11</v>
      </c>
    </row>
    <row r="29" spans="1:7" ht="18" customHeight="1" x14ac:dyDescent="0.35">
      <c r="A29" s="8">
        <v>2018</v>
      </c>
      <c r="B29" s="19">
        <v>10</v>
      </c>
      <c r="C29" s="9">
        <v>12995</v>
      </c>
      <c r="D29" s="10">
        <v>1149044.1200000001</v>
      </c>
      <c r="E29" s="10">
        <v>76.95</v>
      </c>
      <c r="F29" s="12">
        <v>4.05</v>
      </c>
      <c r="G29" s="11">
        <v>0.12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328125" defaultRowHeight="14.5" x14ac:dyDescent="0.35"/>
  <cols>
    <col min="1" max="1" width="24" customWidth="1"/>
    <col min="2" max="2" width="10" customWidth="1"/>
    <col min="3" max="3" width="18" customWidth="1"/>
    <col min="4" max="4" width="16" customWidth="1"/>
    <col min="5" max="5" width="14" customWidth="1"/>
    <col min="6" max="6" width="13" customWidth="1"/>
    <col min="7" max="7" width="12" customWidth="1"/>
  </cols>
  <sheetData>
    <row r="1" spans="1:7" ht="27.75" customHeight="1" x14ac:dyDescent="0.35">
      <c r="A1" s="41" t="s">
        <v>46</v>
      </c>
      <c r="B1" s="41"/>
      <c r="C1" s="41"/>
      <c r="D1" s="41"/>
      <c r="E1" s="41"/>
      <c r="F1" s="41"/>
      <c r="G1" s="41"/>
    </row>
    <row r="2" spans="1:7" ht="7.5" customHeight="1" x14ac:dyDescent="0.35"/>
    <row r="3" spans="1:7" x14ac:dyDescent="0.35">
      <c r="A3" s="17" t="s">
        <v>16</v>
      </c>
      <c r="B3" s="17" t="s">
        <v>17</v>
      </c>
      <c r="C3" s="17" t="s">
        <v>44</v>
      </c>
      <c r="D3" s="17" t="s">
        <v>45</v>
      </c>
      <c r="E3" s="17" t="s">
        <v>47</v>
      </c>
      <c r="F3" s="17" t="s">
        <v>32</v>
      </c>
      <c r="G3" s="17" t="s">
        <v>29</v>
      </c>
    </row>
    <row r="4" spans="1:7" ht="18" customHeight="1" x14ac:dyDescent="0.35">
      <c r="A4" s="2" t="s">
        <v>48</v>
      </c>
      <c r="B4" s="3">
        <v>3323</v>
      </c>
      <c r="C4" s="4">
        <v>302109.40000000002</v>
      </c>
      <c r="D4" s="4">
        <v>78.91</v>
      </c>
      <c r="E4" s="4">
        <v>12.01</v>
      </c>
      <c r="F4" s="6">
        <v>4.04</v>
      </c>
      <c r="G4" s="5">
        <v>0.12</v>
      </c>
    </row>
    <row r="5" spans="1:7" ht="18" customHeight="1" x14ac:dyDescent="0.35">
      <c r="A5" s="8" t="s">
        <v>49</v>
      </c>
      <c r="B5" s="9">
        <v>3308</v>
      </c>
      <c r="C5" s="10">
        <v>301994.90000000002</v>
      </c>
      <c r="D5" s="10">
        <v>79.430000000000007</v>
      </c>
      <c r="E5" s="10">
        <v>11.86</v>
      </c>
      <c r="F5" s="12">
        <v>4.05</v>
      </c>
      <c r="G5" s="11">
        <v>0.13</v>
      </c>
    </row>
    <row r="6" spans="1:7" ht="18" customHeight="1" x14ac:dyDescent="0.35">
      <c r="A6" s="2" t="s">
        <v>50</v>
      </c>
      <c r="B6" s="3">
        <v>3367</v>
      </c>
      <c r="C6" s="4">
        <v>300432.59000000003</v>
      </c>
      <c r="D6" s="4">
        <v>77.599999999999994</v>
      </c>
      <c r="E6" s="4">
        <v>11.62</v>
      </c>
      <c r="F6" s="6">
        <v>4.0599999999999996</v>
      </c>
      <c r="G6" s="5">
        <v>0.12</v>
      </c>
    </row>
    <row r="7" spans="1:7" ht="18" customHeight="1" x14ac:dyDescent="0.35">
      <c r="A7" s="8" t="s">
        <v>51</v>
      </c>
      <c r="B7" s="9">
        <v>3365</v>
      </c>
      <c r="C7" s="10">
        <v>296836.12</v>
      </c>
      <c r="D7" s="10">
        <v>76.7</v>
      </c>
      <c r="E7" s="10">
        <v>11.52</v>
      </c>
      <c r="F7" s="12">
        <v>4.05</v>
      </c>
      <c r="G7" s="11">
        <v>0.12</v>
      </c>
    </row>
    <row r="8" spans="1:7" ht="18" customHeight="1" x14ac:dyDescent="0.35">
      <c r="A8" s="2" t="s">
        <v>52</v>
      </c>
      <c r="B8" s="3">
        <v>3270</v>
      </c>
      <c r="C8" s="4">
        <v>292351.49</v>
      </c>
      <c r="D8" s="4">
        <v>77.66</v>
      </c>
      <c r="E8" s="4">
        <v>11.74</v>
      </c>
      <c r="F8" s="6">
        <v>4.0999999999999996</v>
      </c>
      <c r="G8" s="5">
        <v>0.12</v>
      </c>
    </row>
    <row r="9" spans="1:7" ht="18" customHeight="1" x14ac:dyDescent="0.35">
      <c r="A9" s="8" t="s">
        <v>53</v>
      </c>
      <c r="B9" s="9">
        <v>3291</v>
      </c>
      <c r="C9" s="10">
        <v>291349.63</v>
      </c>
      <c r="D9" s="10">
        <v>76.97</v>
      </c>
      <c r="E9" s="10">
        <v>11.56</v>
      </c>
      <c r="F9" s="12">
        <v>4.05</v>
      </c>
      <c r="G9" s="11">
        <v>0.12</v>
      </c>
    </row>
    <row r="10" spans="1:7" ht="18" customHeight="1" x14ac:dyDescent="0.35">
      <c r="A10" s="2" t="s">
        <v>54</v>
      </c>
      <c r="B10" s="3">
        <v>3261</v>
      </c>
      <c r="C10" s="4">
        <v>290927.46000000002</v>
      </c>
      <c r="D10" s="4">
        <v>77.599999999999994</v>
      </c>
      <c r="E10" s="4">
        <v>11.62</v>
      </c>
      <c r="F10" s="6">
        <v>4.0599999999999996</v>
      </c>
      <c r="G10" s="5">
        <v>0.12</v>
      </c>
    </row>
    <row r="11" spans="1:7" ht="18" customHeight="1" x14ac:dyDescent="0.35">
      <c r="A11" s="8" t="s">
        <v>55</v>
      </c>
      <c r="B11" s="9">
        <v>3331</v>
      </c>
      <c r="C11" s="10">
        <v>289943.56</v>
      </c>
      <c r="D11" s="10">
        <v>75.61</v>
      </c>
      <c r="E11" s="10">
        <v>11.43</v>
      </c>
      <c r="F11" s="12">
        <v>4.0599999999999996</v>
      </c>
      <c r="G11" s="11">
        <v>0.1</v>
      </c>
    </row>
    <row r="12" spans="1:7" ht="18" customHeight="1" x14ac:dyDescent="0.35">
      <c r="A12" s="2" t="s">
        <v>56</v>
      </c>
      <c r="B12" s="3">
        <v>3251</v>
      </c>
      <c r="C12" s="4">
        <v>288491.96999999997</v>
      </c>
      <c r="D12" s="4">
        <v>77.25</v>
      </c>
      <c r="E12" s="4">
        <v>11.49</v>
      </c>
      <c r="F12" s="6">
        <v>4.0199999999999996</v>
      </c>
      <c r="G12" s="5">
        <v>0.12</v>
      </c>
    </row>
    <row r="13" spans="1:7" ht="18" customHeight="1" x14ac:dyDescent="0.35">
      <c r="A13" s="8" t="s">
        <v>57</v>
      </c>
      <c r="B13" s="9">
        <v>3225</v>
      </c>
      <c r="C13" s="10">
        <v>288174.33</v>
      </c>
      <c r="D13" s="10">
        <v>77.63</v>
      </c>
      <c r="E13" s="10">
        <v>11.72</v>
      </c>
      <c r="F13" s="12">
        <v>4.0199999999999996</v>
      </c>
      <c r="G13" s="11">
        <v>0.12</v>
      </c>
    </row>
    <row r="14" spans="1:7" ht="18" customHeight="1" x14ac:dyDescent="0.35">
      <c r="A14" s="2" t="s">
        <v>58</v>
      </c>
      <c r="B14" s="3">
        <v>3319</v>
      </c>
      <c r="C14" s="4">
        <v>287548.46000000002</v>
      </c>
      <c r="D14" s="4">
        <v>75.349999999999994</v>
      </c>
      <c r="E14" s="4">
        <v>11.29</v>
      </c>
      <c r="F14" s="6">
        <v>4.04</v>
      </c>
      <c r="G14" s="5">
        <v>0.12</v>
      </c>
    </row>
    <row r="15" spans="1:7" ht="18" customHeight="1" x14ac:dyDescent="0.35">
      <c r="A15" s="8" t="s">
        <v>59</v>
      </c>
      <c r="B15" s="9">
        <v>3220</v>
      </c>
      <c r="C15" s="10">
        <v>286743.07</v>
      </c>
      <c r="D15" s="10">
        <v>77.62</v>
      </c>
      <c r="E15" s="10">
        <v>11.43</v>
      </c>
      <c r="F15" s="12">
        <v>4.05</v>
      </c>
      <c r="G15" s="11">
        <v>0.11</v>
      </c>
    </row>
    <row r="16" spans="1:7" ht="18" customHeight="1" x14ac:dyDescent="0.35">
      <c r="A16" s="2" t="s">
        <v>60</v>
      </c>
      <c r="B16" s="3">
        <v>3242</v>
      </c>
      <c r="C16" s="4">
        <v>285465.84999999998</v>
      </c>
      <c r="D16" s="4">
        <v>76.66</v>
      </c>
      <c r="E16" s="4">
        <v>11.39</v>
      </c>
      <c r="F16" s="6">
        <v>4.08</v>
      </c>
      <c r="G16" s="5">
        <v>0.11</v>
      </c>
    </row>
    <row r="17" spans="1:7" ht="18" customHeight="1" x14ac:dyDescent="0.35">
      <c r="A17" s="8" t="s">
        <v>61</v>
      </c>
      <c r="B17" s="9">
        <v>3238</v>
      </c>
      <c r="C17" s="10">
        <v>285047.76</v>
      </c>
      <c r="D17" s="10">
        <v>76.55</v>
      </c>
      <c r="E17" s="10">
        <v>11.48</v>
      </c>
      <c r="F17" s="12">
        <v>4.07</v>
      </c>
      <c r="G17" s="11">
        <v>0.12</v>
      </c>
    </row>
    <row r="18" spans="1:7" ht="18" customHeight="1" x14ac:dyDescent="0.35">
      <c r="A18" s="2" t="s">
        <v>62</v>
      </c>
      <c r="B18" s="3">
        <v>3232</v>
      </c>
      <c r="C18" s="4">
        <v>281715.32</v>
      </c>
      <c r="D18" s="4">
        <v>75.92</v>
      </c>
      <c r="E18" s="4">
        <v>11.25</v>
      </c>
      <c r="F18" s="6">
        <v>4.03</v>
      </c>
      <c r="G18" s="5">
        <v>0.11</v>
      </c>
    </row>
    <row r="19" spans="1:7" ht="18" customHeight="1" x14ac:dyDescent="0.35">
      <c r="A19" s="8" t="s">
        <v>63</v>
      </c>
      <c r="B19" s="9">
        <v>3221</v>
      </c>
      <c r="C19" s="10">
        <v>281289.68</v>
      </c>
      <c r="D19" s="10">
        <v>76.02</v>
      </c>
      <c r="E19" s="10">
        <v>11.31</v>
      </c>
      <c r="F19" s="12">
        <v>4.05</v>
      </c>
      <c r="G19" s="11">
        <v>0.11</v>
      </c>
    </row>
    <row r="20" spans="1:7" ht="18" customHeight="1" x14ac:dyDescent="0.35">
      <c r="A20" s="2" t="s">
        <v>64</v>
      </c>
      <c r="B20" s="3">
        <v>3185</v>
      </c>
      <c r="C20" s="4">
        <v>277805.33</v>
      </c>
      <c r="D20" s="4">
        <v>75.87</v>
      </c>
      <c r="E20" s="4">
        <v>11.35</v>
      </c>
      <c r="F20" s="6">
        <v>4.07</v>
      </c>
      <c r="G20" s="5">
        <v>0.12</v>
      </c>
    </row>
    <row r="21" spans="1:7" ht="18" customHeight="1" x14ac:dyDescent="0.35">
      <c r="A21" s="8" t="s">
        <v>65</v>
      </c>
      <c r="B21" s="9">
        <v>3151</v>
      </c>
      <c r="C21" s="10">
        <v>271931.99</v>
      </c>
      <c r="D21" s="10">
        <v>75.05</v>
      </c>
      <c r="E21" s="10">
        <v>11.25</v>
      </c>
      <c r="F21" s="12">
        <v>4.0599999999999996</v>
      </c>
      <c r="G21" s="11">
        <v>0.12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328125" defaultRowHeight="14.5" x14ac:dyDescent="0.35"/>
  <cols>
    <col min="1" max="2" width="10" customWidth="1"/>
    <col min="3" max="3" width="13" customWidth="1"/>
    <col min="4" max="4" width="20" customWidth="1"/>
    <col min="5" max="5" width="18" customWidth="1"/>
    <col min="6" max="6" width="13" customWidth="1"/>
  </cols>
  <sheetData>
    <row r="1" spans="1:6" ht="27.75" customHeight="1" x14ac:dyDescent="0.35">
      <c r="A1" s="41" t="s">
        <v>66</v>
      </c>
      <c r="B1" s="41"/>
      <c r="C1" s="41"/>
      <c r="D1" s="41"/>
      <c r="E1" s="41"/>
      <c r="F1" s="41"/>
    </row>
    <row r="2" spans="1:6" ht="7.5" customHeight="1" x14ac:dyDescent="0.35"/>
    <row r="3" spans="1:6" x14ac:dyDescent="0.35">
      <c r="A3" s="17" t="s">
        <v>22</v>
      </c>
      <c r="B3" s="17" t="s">
        <v>17</v>
      </c>
      <c r="C3" s="17" t="s">
        <v>29</v>
      </c>
      <c r="D3" s="17" t="s">
        <v>30</v>
      </c>
      <c r="E3" s="17" t="s">
        <v>67</v>
      </c>
      <c r="F3" s="17" t="s">
        <v>32</v>
      </c>
    </row>
    <row r="4" spans="1:6" ht="18" customHeight="1" x14ac:dyDescent="0.35">
      <c r="A4" s="2" t="s">
        <v>68</v>
      </c>
      <c r="B4" s="3">
        <v>260</v>
      </c>
      <c r="C4" s="5">
        <v>0.15</v>
      </c>
      <c r="D4" s="15">
        <v>-5.72</v>
      </c>
      <c r="E4" s="15">
        <v>8.69</v>
      </c>
      <c r="F4" s="6">
        <v>4.07</v>
      </c>
    </row>
    <row r="5" spans="1:6" ht="18" customHeight="1" x14ac:dyDescent="0.35">
      <c r="A5" s="8" t="s">
        <v>69</v>
      </c>
      <c r="B5" s="9">
        <v>426</v>
      </c>
      <c r="C5" s="11">
        <v>0.15</v>
      </c>
      <c r="D5" s="16">
        <v>-5.27</v>
      </c>
      <c r="E5" s="16">
        <v>9.1</v>
      </c>
      <c r="F5" s="12">
        <v>4.0599999999999996</v>
      </c>
    </row>
    <row r="6" spans="1:6" ht="18" customHeight="1" x14ac:dyDescent="0.35">
      <c r="A6" s="2" t="s">
        <v>70</v>
      </c>
      <c r="B6" s="3">
        <v>124</v>
      </c>
      <c r="C6" s="5">
        <v>0.14000000000000001</v>
      </c>
      <c r="D6" s="15">
        <v>-5.96</v>
      </c>
      <c r="E6" s="15">
        <v>8.44</v>
      </c>
      <c r="F6" s="6">
        <v>4.0999999999999996</v>
      </c>
    </row>
    <row r="7" spans="1:6" ht="18" customHeight="1" x14ac:dyDescent="0.35">
      <c r="A7" s="8" t="s">
        <v>71</v>
      </c>
      <c r="B7" s="9">
        <v>1407</v>
      </c>
      <c r="C7" s="11">
        <v>0.13</v>
      </c>
      <c r="D7" s="16">
        <v>-5.46</v>
      </c>
      <c r="E7" s="16">
        <v>8.93</v>
      </c>
      <c r="F7" s="12">
        <v>4.0599999999999996</v>
      </c>
    </row>
    <row r="8" spans="1:6" ht="18" customHeight="1" x14ac:dyDescent="0.35">
      <c r="A8" s="2" t="s">
        <v>72</v>
      </c>
      <c r="B8" s="3">
        <v>428</v>
      </c>
      <c r="C8" s="5">
        <v>0.13</v>
      </c>
      <c r="D8" s="15">
        <v>-5.66</v>
      </c>
      <c r="E8" s="15">
        <v>8.7100000000000009</v>
      </c>
      <c r="F8" s="6">
        <v>4.07</v>
      </c>
    </row>
    <row r="9" spans="1:6" ht="18" customHeight="1" x14ac:dyDescent="0.35">
      <c r="A9" s="8" t="s">
        <v>73</v>
      </c>
      <c r="B9" s="9">
        <v>2768</v>
      </c>
      <c r="C9" s="11">
        <v>0.13</v>
      </c>
      <c r="D9" s="16">
        <v>-5.54</v>
      </c>
      <c r="E9" s="16">
        <v>8.94</v>
      </c>
      <c r="F9" s="12">
        <v>4.05</v>
      </c>
    </row>
    <row r="10" spans="1:6" ht="18" customHeight="1" x14ac:dyDescent="0.35">
      <c r="A10" s="2" t="s">
        <v>74</v>
      </c>
      <c r="B10" s="3">
        <v>879</v>
      </c>
      <c r="C10" s="5">
        <v>0.12</v>
      </c>
      <c r="D10" s="15">
        <v>-5.77</v>
      </c>
      <c r="E10" s="15">
        <v>8.8800000000000008</v>
      </c>
      <c r="F10" s="6">
        <v>4.07</v>
      </c>
    </row>
    <row r="11" spans="1:6" ht="18" customHeight="1" x14ac:dyDescent="0.35">
      <c r="A11" s="8" t="s">
        <v>75</v>
      </c>
      <c r="B11" s="9">
        <v>18976</v>
      </c>
      <c r="C11" s="11">
        <v>0.12</v>
      </c>
      <c r="D11" s="16">
        <v>-5.62</v>
      </c>
      <c r="E11" s="16">
        <v>8.89</v>
      </c>
      <c r="F11" s="12">
        <v>4.05</v>
      </c>
    </row>
    <row r="12" spans="1:6" ht="18" customHeight="1" x14ac:dyDescent="0.35">
      <c r="A12" s="2" t="s">
        <v>76</v>
      </c>
      <c r="B12" s="3">
        <v>5508</v>
      </c>
      <c r="C12" s="5">
        <v>0.12</v>
      </c>
      <c r="D12" s="15">
        <v>-5.61</v>
      </c>
      <c r="E12" s="15">
        <v>8.9</v>
      </c>
      <c r="F12" s="6">
        <v>4.07</v>
      </c>
    </row>
    <row r="13" spans="1:6" ht="18" customHeight="1" x14ac:dyDescent="0.35">
      <c r="A13" s="8" t="s">
        <v>77</v>
      </c>
      <c r="B13" s="9">
        <v>1888</v>
      </c>
      <c r="C13" s="11">
        <v>0.12</v>
      </c>
      <c r="D13" s="16">
        <v>-5.64</v>
      </c>
      <c r="E13" s="16">
        <v>8.85</v>
      </c>
      <c r="F13" s="12">
        <v>4.0599999999999996</v>
      </c>
    </row>
    <row r="14" spans="1:6" ht="18" customHeight="1" x14ac:dyDescent="0.35">
      <c r="A14" s="2" t="s">
        <v>78</v>
      </c>
      <c r="B14" s="3">
        <v>2664</v>
      </c>
      <c r="C14" s="5">
        <v>0.12</v>
      </c>
      <c r="D14" s="15">
        <v>-5.6</v>
      </c>
      <c r="E14" s="15">
        <v>8.8800000000000008</v>
      </c>
      <c r="F14" s="6">
        <v>4.0199999999999996</v>
      </c>
    </row>
    <row r="15" spans="1:6" ht="18" customHeight="1" x14ac:dyDescent="0.35">
      <c r="A15" s="8" t="s">
        <v>79</v>
      </c>
      <c r="B15" s="9">
        <v>5884</v>
      </c>
      <c r="C15" s="11">
        <v>0.11</v>
      </c>
      <c r="D15" s="16">
        <v>-5.62</v>
      </c>
      <c r="E15" s="16">
        <v>8.8699999999999992</v>
      </c>
      <c r="F15" s="12">
        <v>4.04</v>
      </c>
    </row>
    <row r="16" spans="1:6" ht="18" customHeight="1" x14ac:dyDescent="0.35">
      <c r="A16" s="2" t="s">
        <v>80</v>
      </c>
      <c r="B16" s="3">
        <v>446</v>
      </c>
      <c r="C16" s="5">
        <v>0.11</v>
      </c>
      <c r="D16" s="15">
        <v>-5.62</v>
      </c>
      <c r="E16" s="15">
        <v>8.86</v>
      </c>
      <c r="F16" s="6">
        <v>4.08</v>
      </c>
    </row>
    <row r="17" spans="1:6" ht="18" customHeight="1" x14ac:dyDescent="0.35">
      <c r="A17" s="8" t="s">
        <v>81</v>
      </c>
      <c r="B17" s="9">
        <v>483</v>
      </c>
      <c r="C17" s="11">
        <v>0.11</v>
      </c>
      <c r="D17" s="16">
        <v>-5.89</v>
      </c>
      <c r="E17" s="16">
        <v>8.68</v>
      </c>
      <c r="F17" s="12">
        <v>4.2</v>
      </c>
    </row>
    <row r="18" spans="1:6" ht="18" customHeight="1" x14ac:dyDescent="0.35">
      <c r="A18" s="2" t="s">
        <v>82</v>
      </c>
      <c r="B18" s="3">
        <v>453</v>
      </c>
      <c r="C18" s="5">
        <v>0.1</v>
      </c>
      <c r="D18" s="15">
        <v>-5.74</v>
      </c>
      <c r="E18" s="15">
        <v>8.9600000000000009</v>
      </c>
      <c r="F18" s="6">
        <v>4.07</v>
      </c>
    </row>
    <row r="19" spans="1:6" ht="18" customHeight="1" x14ac:dyDescent="0.35">
      <c r="A19" s="8" t="s">
        <v>83</v>
      </c>
      <c r="B19" s="9">
        <v>894</v>
      </c>
      <c r="C19" s="11">
        <v>0.1</v>
      </c>
      <c r="D19" s="16">
        <v>-5.67</v>
      </c>
      <c r="E19" s="16">
        <v>8.86</v>
      </c>
      <c r="F19" s="12">
        <v>4.07</v>
      </c>
    </row>
    <row r="20" spans="1:6" ht="18" customHeight="1" x14ac:dyDescent="0.35">
      <c r="A20" s="2" t="s">
        <v>84</v>
      </c>
      <c r="B20" s="3">
        <v>915</v>
      </c>
      <c r="C20" s="5">
        <v>0.1</v>
      </c>
      <c r="D20" s="15">
        <v>-5.63</v>
      </c>
      <c r="E20" s="15">
        <v>8.76</v>
      </c>
      <c r="F20" s="6">
        <v>4.08</v>
      </c>
    </row>
    <row r="21" spans="1:6" ht="18" customHeight="1" x14ac:dyDescent="0.35">
      <c r="A21" s="8" t="s">
        <v>85</v>
      </c>
      <c r="B21" s="9">
        <v>424</v>
      </c>
      <c r="C21" s="11">
        <v>0.09</v>
      </c>
      <c r="D21" s="16">
        <v>-5.87</v>
      </c>
      <c r="E21" s="16">
        <v>8.66</v>
      </c>
      <c r="F21" s="12">
        <v>4.01</v>
      </c>
    </row>
    <row r="22" spans="1:6" ht="18" customHeight="1" x14ac:dyDescent="0.35">
      <c r="A22" s="2" t="s">
        <v>86</v>
      </c>
      <c r="B22" s="3">
        <v>228</v>
      </c>
      <c r="C22" s="5">
        <v>7.0000000000000007E-2</v>
      </c>
      <c r="D22" s="15">
        <v>-6.2</v>
      </c>
      <c r="E22" s="15">
        <v>8.76</v>
      </c>
      <c r="F22" s="6">
        <v>3.88</v>
      </c>
    </row>
    <row r="23" spans="1:6" ht="18" customHeight="1" x14ac:dyDescent="0.35">
      <c r="A23" s="8" t="s">
        <v>87</v>
      </c>
      <c r="B23" s="9">
        <v>137</v>
      </c>
      <c r="C23" s="11">
        <v>7.0000000000000007E-2</v>
      </c>
      <c r="D23" s="16">
        <v>-6.15</v>
      </c>
      <c r="E23" s="16">
        <v>8.8000000000000007</v>
      </c>
      <c r="F23" s="12">
        <v>4.0999999999999996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328125" defaultRowHeight="14.5" x14ac:dyDescent="0.35"/>
  <cols>
    <col min="1" max="1" width="16" customWidth="1"/>
    <col min="2" max="2" width="10" customWidth="1"/>
    <col min="3" max="3" width="18" customWidth="1"/>
    <col min="4" max="4" width="16" customWidth="1"/>
    <col min="5" max="5" width="13" customWidth="1"/>
    <col min="6" max="6" width="14" customWidth="1"/>
    <col min="8" max="8" width="18" customWidth="1"/>
    <col min="9" max="9" width="10" customWidth="1"/>
    <col min="10" max="10" width="18" customWidth="1"/>
    <col min="11" max="11" width="16" customWidth="1"/>
  </cols>
  <sheetData>
    <row r="1" spans="1:11" ht="27.75" customHeight="1" x14ac:dyDescent="0.35">
      <c r="A1" s="41" t="s">
        <v>88</v>
      </c>
      <c r="B1" s="41"/>
      <c r="C1" s="41"/>
      <c r="D1" s="41"/>
      <c r="E1" s="41"/>
      <c r="F1" s="41"/>
      <c r="H1" s="41" t="s">
        <v>89</v>
      </c>
      <c r="I1" s="41"/>
      <c r="J1" s="41"/>
      <c r="K1" s="41"/>
    </row>
    <row r="3" spans="1:11" x14ac:dyDescent="0.35">
      <c r="A3" s="17" t="s">
        <v>90</v>
      </c>
      <c r="B3" s="17" t="s">
        <v>17</v>
      </c>
      <c r="C3" s="17" t="s">
        <v>44</v>
      </c>
      <c r="D3" s="17" t="s">
        <v>45</v>
      </c>
      <c r="E3" s="17" t="s">
        <v>32</v>
      </c>
      <c r="F3" s="17" t="s">
        <v>91</v>
      </c>
      <c r="H3" s="17" t="s">
        <v>92</v>
      </c>
      <c r="I3" s="17" t="s">
        <v>17</v>
      </c>
      <c r="J3" s="17" t="s">
        <v>44</v>
      </c>
      <c r="K3" s="17" t="s">
        <v>45</v>
      </c>
    </row>
    <row r="4" spans="1:11" ht="18" customHeight="1" x14ac:dyDescent="0.35">
      <c r="A4" s="2" t="s">
        <v>93</v>
      </c>
      <c r="B4" s="3">
        <v>43378</v>
      </c>
      <c r="C4" s="4">
        <v>3851876.76</v>
      </c>
      <c r="D4" s="4">
        <v>77.260000000000005</v>
      </c>
      <c r="E4" s="6">
        <v>4.0599999999999996</v>
      </c>
      <c r="F4" s="15">
        <v>5.65</v>
      </c>
      <c r="H4" s="2" t="s">
        <v>94</v>
      </c>
      <c r="I4" s="3">
        <v>45192</v>
      </c>
      <c r="J4" s="4">
        <v>4005198.91</v>
      </c>
      <c r="K4" s="4">
        <v>77.09</v>
      </c>
    </row>
    <row r="5" spans="1:11" ht="18" customHeight="1" x14ac:dyDescent="0.35">
      <c r="A5" s="8" t="s">
        <v>95</v>
      </c>
      <c r="B5" s="9">
        <v>11311</v>
      </c>
      <c r="C5" s="10">
        <v>989494.8</v>
      </c>
      <c r="D5" s="10">
        <v>76.010000000000005</v>
      </c>
      <c r="E5" s="12">
        <v>4.05</v>
      </c>
      <c r="F5" s="16">
        <v>1</v>
      </c>
      <c r="H5" s="8" t="s">
        <v>96</v>
      </c>
      <c r="I5" s="9">
        <v>4815</v>
      </c>
      <c r="J5" s="10">
        <v>424746.62</v>
      </c>
      <c r="K5" s="10">
        <v>76.680000000000007</v>
      </c>
    </row>
    <row r="6" spans="1:11" ht="18" customHeight="1" x14ac:dyDescent="0.35">
      <c r="A6" s="2" t="s">
        <v>97</v>
      </c>
      <c r="B6" s="3">
        <v>2980</v>
      </c>
      <c r="C6" s="4">
        <v>261206.39</v>
      </c>
      <c r="D6" s="4">
        <v>76.099999999999994</v>
      </c>
      <c r="E6" s="6">
        <v>4.07</v>
      </c>
      <c r="F6" s="15">
        <v>1</v>
      </c>
      <c r="H6" s="2" t="s">
        <v>98</v>
      </c>
      <c r="I6" s="3">
        <v>3503</v>
      </c>
      <c r="J6" s="4">
        <v>306739.25</v>
      </c>
      <c r="K6" s="4">
        <v>76.290000000000006</v>
      </c>
    </row>
    <row r="7" spans="1:11" ht="18" customHeight="1" x14ac:dyDescent="0.35">
      <c r="A7" s="8" t="s">
        <v>99</v>
      </c>
      <c r="B7" s="9">
        <v>1131</v>
      </c>
      <c r="C7" s="10">
        <v>97580.96</v>
      </c>
      <c r="D7" s="10">
        <v>74.959999999999994</v>
      </c>
      <c r="E7" s="12">
        <v>3.95</v>
      </c>
      <c r="F7" s="16">
        <v>1</v>
      </c>
      <c r="H7" s="8" t="s">
        <v>100</v>
      </c>
      <c r="I7" s="9">
        <v>1750</v>
      </c>
      <c r="J7" s="10">
        <v>148938.12</v>
      </c>
      <c r="K7" s="10">
        <v>74</v>
      </c>
    </row>
    <row r="8" spans="1:11" ht="18" customHeight="1" x14ac:dyDescent="0.35">
      <c r="H8" s="2" t="s">
        <v>101</v>
      </c>
      <c r="I8" s="3">
        <v>1198</v>
      </c>
      <c r="J8" s="4">
        <v>107739.62</v>
      </c>
      <c r="K8" s="4">
        <v>78.22</v>
      </c>
    </row>
    <row r="9" spans="1:11" ht="18" customHeight="1" x14ac:dyDescent="0.35">
      <c r="H9" s="8" t="s">
        <v>102</v>
      </c>
      <c r="I9" s="9">
        <v>1192</v>
      </c>
      <c r="J9" s="10">
        <v>103034.19</v>
      </c>
      <c r="K9" s="10">
        <v>75.040000000000006</v>
      </c>
    </row>
    <row r="10" spans="1:11" ht="18" customHeight="1" x14ac:dyDescent="0.35">
      <c r="H10" s="2" t="s">
        <v>103</v>
      </c>
      <c r="I10" s="3">
        <v>601</v>
      </c>
      <c r="J10" s="4">
        <v>54981.01</v>
      </c>
      <c r="K10" s="4">
        <v>79.33</v>
      </c>
    </row>
    <row r="11" spans="1:11" ht="18" customHeight="1" x14ac:dyDescent="0.35">
      <c r="H11" s="8" t="s">
        <v>104</v>
      </c>
      <c r="I11" s="9">
        <v>549</v>
      </c>
      <c r="J11" s="10">
        <v>48781.19</v>
      </c>
      <c r="K11" s="10">
        <v>77.040000000000006</v>
      </c>
    </row>
  </sheetData>
  <mergeCells count="2">
    <mergeCell ref="A1:F1"/>
    <mergeCell ref="H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9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328125" defaultRowHeight="14.5" x14ac:dyDescent="0.35"/>
  <cols>
    <col min="1" max="1" width="18" customWidth="1"/>
    <col min="2" max="2" width="10" customWidth="1"/>
    <col min="3" max="3" width="17" customWidth="1"/>
    <col min="4" max="5" width="15" customWidth="1"/>
    <col min="6" max="6" width="18" customWidth="1"/>
    <col min="7" max="7" width="15" customWidth="1"/>
    <col min="9" max="9" width="16" customWidth="1"/>
    <col min="10" max="10" width="10" customWidth="1"/>
    <col min="11" max="11" width="18" customWidth="1"/>
    <col min="12" max="12" width="15" customWidth="1"/>
    <col min="13" max="13" width="16" customWidth="1"/>
    <col min="14" max="14" width="15" customWidth="1"/>
  </cols>
  <sheetData>
    <row r="1" spans="1:14" ht="27.75" customHeight="1" x14ac:dyDescent="0.35">
      <c r="A1" s="41" t="s">
        <v>105</v>
      </c>
      <c r="B1" s="41"/>
      <c r="C1" s="41"/>
      <c r="D1" s="41"/>
      <c r="E1" s="41"/>
      <c r="F1" s="41"/>
      <c r="G1" s="41"/>
      <c r="I1" s="41" t="s">
        <v>106</v>
      </c>
      <c r="J1" s="41"/>
      <c r="K1" s="41"/>
      <c r="L1" s="41"/>
      <c r="M1" s="41"/>
      <c r="N1" s="41"/>
    </row>
    <row r="3" spans="1:14" x14ac:dyDescent="0.35">
      <c r="A3" s="17" t="s">
        <v>33</v>
      </c>
      <c r="B3" s="17" t="s">
        <v>17</v>
      </c>
      <c r="C3" s="17" t="s">
        <v>107</v>
      </c>
      <c r="D3" s="17" t="s">
        <v>108</v>
      </c>
      <c r="E3" s="17" t="s">
        <v>109</v>
      </c>
      <c r="F3" s="17" t="s">
        <v>110</v>
      </c>
      <c r="G3" s="17" t="s">
        <v>111</v>
      </c>
      <c r="I3" s="17" t="s">
        <v>112</v>
      </c>
      <c r="J3" s="17" t="s">
        <v>17</v>
      </c>
      <c r="K3" s="17" t="s">
        <v>110</v>
      </c>
      <c r="L3" s="17" t="s">
        <v>113</v>
      </c>
      <c r="M3" s="17" t="s">
        <v>107</v>
      </c>
      <c r="N3" s="17" t="s">
        <v>111</v>
      </c>
    </row>
    <row r="4" spans="1:14" ht="18" customHeight="1" x14ac:dyDescent="0.35">
      <c r="A4" s="2" t="s">
        <v>114</v>
      </c>
      <c r="B4" s="3">
        <v>8302</v>
      </c>
      <c r="C4" s="5">
        <v>0.55000000000000004</v>
      </c>
      <c r="D4" s="15">
        <v>5.15</v>
      </c>
      <c r="E4" s="15">
        <v>3.82</v>
      </c>
      <c r="F4" s="4">
        <v>2071210.31</v>
      </c>
      <c r="G4" s="4">
        <v>3.73</v>
      </c>
      <c r="I4" s="2" t="s">
        <v>115</v>
      </c>
      <c r="J4" s="3">
        <v>16503</v>
      </c>
      <c r="K4" s="4">
        <v>4012998.14</v>
      </c>
      <c r="L4" s="5">
        <v>0.12</v>
      </c>
      <c r="M4" s="5">
        <v>0.54</v>
      </c>
      <c r="N4" s="4">
        <v>3.85</v>
      </c>
    </row>
    <row r="5" spans="1:14" ht="18" customHeight="1" x14ac:dyDescent="0.35">
      <c r="A5" s="8" t="s">
        <v>116</v>
      </c>
      <c r="B5" s="9">
        <v>32973</v>
      </c>
      <c r="C5" s="11">
        <v>0.55000000000000004</v>
      </c>
      <c r="D5" s="16">
        <v>5.13</v>
      </c>
      <c r="E5" s="16">
        <v>3.83</v>
      </c>
      <c r="F5" s="10">
        <v>8033553.0999999996</v>
      </c>
      <c r="G5" s="10">
        <v>3.72</v>
      </c>
      <c r="I5" s="8" t="s">
        <v>117</v>
      </c>
      <c r="J5" s="9">
        <v>13603</v>
      </c>
      <c r="K5" s="10">
        <v>3345991.05</v>
      </c>
      <c r="L5" s="11">
        <v>0.12</v>
      </c>
      <c r="M5" s="11">
        <v>0.55000000000000004</v>
      </c>
      <c r="N5" s="10">
        <v>3.56</v>
      </c>
    </row>
    <row r="6" spans="1:14" ht="18" customHeight="1" x14ac:dyDescent="0.35">
      <c r="A6" s="2" t="s">
        <v>118</v>
      </c>
      <c r="B6" s="3">
        <v>10957</v>
      </c>
      <c r="C6" s="5">
        <v>0.54</v>
      </c>
      <c r="D6" s="15">
        <v>5.1100000000000003</v>
      </c>
      <c r="E6" s="15">
        <v>3.82</v>
      </c>
      <c r="F6" s="4">
        <v>2639033.9</v>
      </c>
      <c r="G6" s="4">
        <v>3.91</v>
      </c>
      <c r="I6" s="2" t="s">
        <v>119</v>
      </c>
      <c r="J6" s="3">
        <v>11135</v>
      </c>
      <c r="K6" s="4">
        <v>2674097.36</v>
      </c>
      <c r="L6" s="5">
        <v>0.12</v>
      </c>
      <c r="M6" s="5">
        <v>0.55000000000000004</v>
      </c>
      <c r="N6" s="4">
        <v>3.67</v>
      </c>
    </row>
    <row r="7" spans="1:14" ht="18" customHeight="1" x14ac:dyDescent="0.35">
      <c r="A7" s="8" t="s">
        <v>120</v>
      </c>
      <c r="B7" s="9">
        <v>2768</v>
      </c>
      <c r="C7" s="11">
        <v>0.53</v>
      </c>
      <c r="D7" s="16">
        <v>5.08</v>
      </c>
      <c r="E7" s="16">
        <v>3.84</v>
      </c>
      <c r="F7" s="10">
        <v>688212.33</v>
      </c>
      <c r="G7" s="10">
        <v>3.63</v>
      </c>
      <c r="I7" s="8" t="s">
        <v>121</v>
      </c>
      <c r="J7" s="9">
        <v>8176</v>
      </c>
      <c r="K7" s="10">
        <v>2042935.86</v>
      </c>
      <c r="L7" s="11">
        <v>0.12</v>
      </c>
      <c r="M7" s="11">
        <v>0.55000000000000004</v>
      </c>
      <c r="N7" s="10">
        <v>3.95</v>
      </c>
    </row>
    <row r="8" spans="1:14" ht="18" customHeight="1" x14ac:dyDescent="0.35">
      <c r="I8" s="2" t="s">
        <v>122</v>
      </c>
      <c r="J8" s="3">
        <v>5583</v>
      </c>
      <c r="K8" s="4">
        <v>1355987.23</v>
      </c>
      <c r="L8" s="5">
        <v>0.12</v>
      </c>
      <c r="M8" s="5">
        <v>0.54</v>
      </c>
      <c r="N8" s="4">
        <v>3.88</v>
      </c>
    </row>
    <row r="10" spans="1:14" ht="15.5" x14ac:dyDescent="0.35">
      <c r="A10" s="41" t="s">
        <v>123</v>
      </c>
      <c r="B10" s="41"/>
      <c r="C10" s="41"/>
      <c r="D10" s="41"/>
      <c r="E10" s="41"/>
    </row>
    <row r="11" spans="1:14" x14ac:dyDescent="0.35">
      <c r="A11" s="17" t="s">
        <v>42</v>
      </c>
      <c r="B11" s="17" t="s">
        <v>43</v>
      </c>
      <c r="C11" s="17" t="s">
        <v>17</v>
      </c>
      <c r="D11" s="17" t="s">
        <v>37</v>
      </c>
      <c r="E11" s="17" t="s">
        <v>29</v>
      </c>
    </row>
    <row r="12" spans="1:14" ht="18" customHeight="1" x14ac:dyDescent="0.35">
      <c r="A12" s="2">
        <v>2015</v>
      </c>
      <c r="B12" s="18">
        <v>1</v>
      </c>
      <c r="C12" s="3">
        <v>1142</v>
      </c>
      <c r="D12" s="4">
        <v>270993.90999999997</v>
      </c>
      <c r="E12" s="5">
        <v>0.54</v>
      </c>
    </row>
    <row r="13" spans="1:14" ht="18" customHeight="1" x14ac:dyDescent="0.35">
      <c r="A13" s="8">
        <v>2015</v>
      </c>
      <c r="B13" s="19">
        <v>2</v>
      </c>
      <c r="C13" s="9">
        <v>1020</v>
      </c>
      <c r="D13" s="10">
        <v>255130.77</v>
      </c>
      <c r="E13" s="11">
        <v>0.55000000000000004</v>
      </c>
    </row>
    <row r="14" spans="1:14" ht="18" customHeight="1" x14ac:dyDescent="0.35">
      <c r="A14" s="2">
        <v>2015</v>
      </c>
      <c r="B14" s="18">
        <v>3</v>
      </c>
      <c r="C14" s="3">
        <v>1179</v>
      </c>
      <c r="D14" s="4">
        <v>290334.32</v>
      </c>
      <c r="E14" s="5">
        <v>0.56000000000000005</v>
      </c>
    </row>
    <row r="15" spans="1:14" ht="18" customHeight="1" x14ac:dyDescent="0.35">
      <c r="A15" s="8">
        <v>2015</v>
      </c>
      <c r="B15" s="19">
        <v>4</v>
      </c>
      <c r="C15" s="9">
        <v>1146</v>
      </c>
      <c r="D15" s="10">
        <v>267158.74</v>
      </c>
      <c r="E15" s="11">
        <v>0.56000000000000005</v>
      </c>
    </row>
    <row r="16" spans="1:14" ht="18" customHeight="1" x14ac:dyDescent="0.35">
      <c r="A16" s="2">
        <v>2015</v>
      </c>
      <c r="B16" s="18">
        <v>5</v>
      </c>
      <c r="C16" s="3">
        <v>1121</v>
      </c>
      <c r="D16" s="4">
        <v>270646.13</v>
      </c>
      <c r="E16" s="5">
        <v>0.54</v>
      </c>
    </row>
    <row r="17" spans="1:5" ht="18" customHeight="1" x14ac:dyDescent="0.35">
      <c r="A17" s="8">
        <v>2015</v>
      </c>
      <c r="B17" s="19">
        <v>6</v>
      </c>
      <c r="C17" s="9">
        <v>1258</v>
      </c>
      <c r="D17" s="10">
        <v>295562.67</v>
      </c>
      <c r="E17" s="11">
        <v>0.55000000000000004</v>
      </c>
    </row>
    <row r="18" spans="1:5" ht="18" customHeight="1" x14ac:dyDescent="0.35">
      <c r="A18" s="2">
        <v>2015</v>
      </c>
      <c r="B18" s="18">
        <v>7</v>
      </c>
      <c r="C18" s="3">
        <v>1180</v>
      </c>
      <c r="D18" s="4">
        <v>287241.09999999998</v>
      </c>
      <c r="E18" s="5">
        <v>0.55000000000000004</v>
      </c>
    </row>
    <row r="19" spans="1:5" ht="18" customHeight="1" x14ac:dyDescent="0.35">
      <c r="A19" s="8">
        <v>2015</v>
      </c>
      <c r="B19" s="19">
        <v>8</v>
      </c>
      <c r="C19" s="9">
        <v>1198</v>
      </c>
      <c r="D19" s="10">
        <v>285196.46999999997</v>
      </c>
      <c r="E19" s="11">
        <v>0.54</v>
      </c>
    </row>
    <row r="20" spans="1:5" ht="18" customHeight="1" x14ac:dyDescent="0.35">
      <c r="A20" s="2">
        <v>2015</v>
      </c>
      <c r="B20" s="18">
        <v>9</v>
      </c>
      <c r="C20" s="3">
        <v>1121</v>
      </c>
      <c r="D20" s="4">
        <v>281518.53000000003</v>
      </c>
      <c r="E20" s="5">
        <v>0.56000000000000005</v>
      </c>
    </row>
    <row r="21" spans="1:5" ht="18" customHeight="1" x14ac:dyDescent="0.35">
      <c r="A21" s="8">
        <v>2015</v>
      </c>
      <c r="B21" s="19">
        <v>10</v>
      </c>
      <c r="C21" s="9">
        <v>1163</v>
      </c>
      <c r="D21" s="10">
        <v>270129.83</v>
      </c>
      <c r="E21" s="11">
        <v>0.56000000000000005</v>
      </c>
    </row>
    <row r="22" spans="1:5" ht="18" customHeight="1" x14ac:dyDescent="0.35">
      <c r="A22" s="2">
        <v>2015</v>
      </c>
      <c r="B22" s="18">
        <v>11</v>
      </c>
      <c r="C22" s="3">
        <v>1144</v>
      </c>
      <c r="D22" s="4">
        <v>283239.43</v>
      </c>
      <c r="E22" s="5">
        <v>0.54</v>
      </c>
    </row>
    <row r="23" spans="1:5" ht="18" customHeight="1" x14ac:dyDescent="0.35">
      <c r="A23" s="8">
        <v>2015</v>
      </c>
      <c r="B23" s="19">
        <v>12</v>
      </c>
      <c r="C23" s="9">
        <v>1199</v>
      </c>
      <c r="D23" s="10">
        <v>303294.62</v>
      </c>
      <c r="E23" s="11">
        <v>0.55000000000000004</v>
      </c>
    </row>
    <row r="24" spans="1:5" ht="18" customHeight="1" x14ac:dyDescent="0.35">
      <c r="A24" s="2">
        <v>2016</v>
      </c>
      <c r="B24" s="18">
        <v>1</v>
      </c>
      <c r="C24" s="3">
        <v>1182</v>
      </c>
      <c r="D24" s="4">
        <v>293246.40000000002</v>
      </c>
      <c r="E24" s="5">
        <v>0.54</v>
      </c>
    </row>
    <row r="25" spans="1:5" ht="18" customHeight="1" x14ac:dyDescent="0.35">
      <c r="A25" s="8">
        <v>2016</v>
      </c>
      <c r="B25" s="19">
        <v>2</v>
      </c>
      <c r="C25" s="9">
        <v>1141</v>
      </c>
      <c r="D25" s="10">
        <v>283624.28000000003</v>
      </c>
      <c r="E25" s="11">
        <v>0.57999999999999996</v>
      </c>
    </row>
    <row r="26" spans="1:5" ht="18" customHeight="1" x14ac:dyDescent="0.35">
      <c r="A26" s="2">
        <v>2016</v>
      </c>
      <c r="B26" s="18">
        <v>3</v>
      </c>
      <c r="C26" s="3">
        <v>1223</v>
      </c>
      <c r="D26" s="4">
        <v>310572.40000000002</v>
      </c>
      <c r="E26" s="5">
        <v>0.53</v>
      </c>
    </row>
    <row r="27" spans="1:5" ht="18" customHeight="1" x14ac:dyDescent="0.35">
      <c r="A27" s="8">
        <v>2016</v>
      </c>
      <c r="B27" s="19">
        <v>4</v>
      </c>
      <c r="C27" s="9">
        <v>1099</v>
      </c>
      <c r="D27" s="10">
        <v>274708.58</v>
      </c>
      <c r="E27" s="11">
        <v>0.53</v>
      </c>
    </row>
    <row r="28" spans="1:5" ht="18" customHeight="1" x14ac:dyDescent="0.35">
      <c r="A28" s="2">
        <v>2016</v>
      </c>
      <c r="B28" s="18">
        <v>5</v>
      </c>
      <c r="C28" s="3">
        <v>1143</v>
      </c>
      <c r="D28" s="4">
        <v>265068.44</v>
      </c>
      <c r="E28" s="5">
        <v>0.56000000000000005</v>
      </c>
    </row>
    <row r="29" spans="1:5" ht="18" customHeight="1" x14ac:dyDescent="0.35">
      <c r="A29" s="8">
        <v>2016</v>
      </c>
      <c r="B29" s="19">
        <v>6</v>
      </c>
      <c r="C29" s="9">
        <v>1131</v>
      </c>
      <c r="D29" s="10">
        <v>281935.62</v>
      </c>
      <c r="E29" s="11">
        <v>0.56999999999999995</v>
      </c>
    </row>
    <row r="30" spans="1:5" ht="18" customHeight="1" x14ac:dyDescent="0.35">
      <c r="A30" s="2">
        <v>2016</v>
      </c>
      <c r="B30" s="18">
        <v>7</v>
      </c>
      <c r="C30" s="3">
        <v>1208</v>
      </c>
      <c r="D30" s="4">
        <v>285360.28999999998</v>
      </c>
      <c r="E30" s="5">
        <v>0.54</v>
      </c>
    </row>
    <row r="31" spans="1:5" ht="18" customHeight="1" x14ac:dyDescent="0.35">
      <c r="A31" s="8">
        <v>2016</v>
      </c>
      <c r="B31" s="19">
        <v>8</v>
      </c>
      <c r="C31" s="9">
        <v>1138</v>
      </c>
      <c r="D31" s="10">
        <v>280457.59000000003</v>
      </c>
      <c r="E31" s="11">
        <v>0.56000000000000005</v>
      </c>
    </row>
    <row r="32" spans="1:5" ht="18" customHeight="1" x14ac:dyDescent="0.35">
      <c r="A32" s="2">
        <v>2016</v>
      </c>
      <c r="B32" s="18">
        <v>9</v>
      </c>
      <c r="C32" s="3">
        <v>1052</v>
      </c>
      <c r="D32" s="4">
        <v>248309.36</v>
      </c>
      <c r="E32" s="5">
        <v>0.55000000000000004</v>
      </c>
    </row>
    <row r="33" spans="1:5" ht="18" customHeight="1" x14ac:dyDescent="0.35">
      <c r="A33" s="8">
        <v>2016</v>
      </c>
      <c r="B33" s="19">
        <v>10</v>
      </c>
      <c r="C33" s="9">
        <v>1194</v>
      </c>
      <c r="D33" s="10">
        <v>279655.28999999998</v>
      </c>
      <c r="E33" s="11">
        <v>0.55000000000000004</v>
      </c>
    </row>
    <row r="34" spans="1:5" ht="18" customHeight="1" x14ac:dyDescent="0.35">
      <c r="A34" s="2">
        <v>2016</v>
      </c>
      <c r="B34" s="18">
        <v>11</v>
      </c>
      <c r="C34" s="3">
        <v>1102</v>
      </c>
      <c r="D34" s="4">
        <v>243022.88</v>
      </c>
      <c r="E34" s="5">
        <v>0.56000000000000005</v>
      </c>
    </row>
    <row r="35" spans="1:5" ht="18" customHeight="1" x14ac:dyDescent="0.35">
      <c r="A35" s="8">
        <v>2016</v>
      </c>
      <c r="B35" s="19">
        <v>12</v>
      </c>
      <c r="C35" s="9">
        <v>1189</v>
      </c>
      <c r="D35" s="10">
        <v>291830.15999999997</v>
      </c>
      <c r="E35" s="11">
        <v>0.53</v>
      </c>
    </row>
    <row r="36" spans="1:5" ht="18" customHeight="1" x14ac:dyDescent="0.35">
      <c r="A36" s="2">
        <v>2017</v>
      </c>
      <c r="B36" s="18">
        <v>1</v>
      </c>
      <c r="C36" s="3">
        <v>1169</v>
      </c>
      <c r="D36" s="4">
        <v>287789.26</v>
      </c>
      <c r="E36" s="5">
        <v>0.55000000000000004</v>
      </c>
    </row>
    <row r="37" spans="1:5" ht="18" customHeight="1" x14ac:dyDescent="0.35">
      <c r="A37" s="8">
        <v>2017</v>
      </c>
      <c r="B37" s="19">
        <v>2</v>
      </c>
      <c r="C37" s="9">
        <v>1064</v>
      </c>
      <c r="D37" s="10">
        <v>276723.13</v>
      </c>
      <c r="E37" s="11">
        <v>0.53</v>
      </c>
    </row>
    <row r="38" spans="1:5" ht="18" customHeight="1" x14ac:dyDescent="0.35">
      <c r="A38" s="2">
        <v>2017</v>
      </c>
      <c r="B38" s="18">
        <v>3</v>
      </c>
      <c r="C38" s="3">
        <v>1176</v>
      </c>
      <c r="D38" s="4">
        <v>278408.71000000002</v>
      </c>
      <c r="E38" s="5">
        <v>0.55000000000000004</v>
      </c>
    </row>
    <row r="39" spans="1:5" ht="18" customHeight="1" x14ac:dyDescent="0.35">
      <c r="A39" s="8">
        <v>2017</v>
      </c>
      <c r="B39" s="19">
        <v>4</v>
      </c>
      <c r="C39" s="9">
        <v>1145</v>
      </c>
      <c r="D39" s="10">
        <v>274073.24</v>
      </c>
      <c r="E39" s="11">
        <v>0.55000000000000004</v>
      </c>
    </row>
    <row r="40" spans="1:5" ht="18" customHeight="1" x14ac:dyDescent="0.35">
      <c r="A40" s="2">
        <v>2017</v>
      </c>
      <c r="B40" s="18">
        <v>5</v>
      </c>
      <c r="C40" s="3">
        <v>1156</v>
      </c>
      <c r="D40" s="4">
        <v>287857.2</v>
      </c>
      <c r="E40" s="5">
        <v>0.55000000000000004</v>
      </c>
    </row>
    <row r="41" spans="1:5" ht="18" customHeight="1" x14ac:dyDescent="0.35">
      <c r="A41" s="8">
        <v>2017</v>
      </c>
      <c r="B41" s="19">
        <v>6</v>
      </c>
      <c r="C41" s="9">
        <v>1117</v>
      </c>
      <c r="D41" s="10">
        <v>266442.56</v>
      </c>
      <c r="E41" s="11">
        <v>0.56999999999999995</v>
      </c>
    </row>
    <row r="42" spans="1:5" ht="18" customHeight="1" x14ac:dyDescent="0.35">
      <c r="A42" s="2">
        <v>2017</v>
      </c>
      <c r="B42" s="18">
        <v>7</v>
      </c>
      <c r="C42" s="3">
        <v>1112</v>
      </c>
      <c r="D42" s="4">
        <v>279377.26</v>
      </c>
      <c r="E42" s="5">
        <v>0.54</v>
      </c>
    </row>
    <row r="43" spans="1:5" ht="18" customHeight="1" x14ac:dyDescent="0.35">
      <c r="A43" s="8">
        <v>2017</v>
      </c>
      <c r="B43" s="19">
        <v>8</v>
      </c>
      <c r="C43" s="9">
        <v>1193</v>
      </c>
      <c r="D43" s="10">
        <v>299014.56</v>
      </c>
      <c r="E43" s="11">
        <v>0.54</v>
      </c>
    </row>
    <row r="44" spans="1:5" ht="18" customHeight="1" x14ac:dyDescent="0.35">
      <c r="A44" s="2">
        <v>2017</v>
      </c>
      <c r="B44" s="18">
        <v>9</v>
      </c>
      <c r="C44" s="3">
        <v>1109</v>
      </c>
      <c r="D44" s="4">
        <v>259579.95</v>
      </c>
      <c r="E44" s="5">
        <v>0.55000000000000004</v>
      </c>
    </row>
    <row r="45" spans="1:5" ht="18" customHeight="1" x14ac:dyDescent="0.35">
      <c r="A45" s="8">
        <v>2017</v>
      </c>
      <c r="B45" s="19">
        <v>10</v>
      </c>
      <c r="C45" s="9">
        <v>1121</v>
      </c>
      <c r="D45" s="10">
        <v>278841.01</v>
      </c>
      <c r="E45" s="11">
        <v>0.56000000000000005</v>
      </c>
    </row>
    <row r="46" spans="1:5" ht="18" customHeight="1" x14ac:dyDescent="0.35">
      <c r="A46" s="2">
        <v>2017</v>
      </c>
      <c r="B46" s="18">
        <v>11</v>
      </c>
      <c r="C46" s="3">
        <v>1164</v>
      </c>
      <c r="D46" s="4">
        <v>285999.21000000002</v>
      </c>
      <c r="E46" s="5">
        <v>0.55000000000000004</v>
      </c>
    </row>
    <row r="47" spans="1:5" ht="18" customHeight="1" x14ac:dyDescent="0.35">
      <c r="A47" s="8">
        <v>2017</v>
      </c>
      <c r="B47" s="19">
        <v>12</v>
      </c>
      <c r="C47" s="9">
        <v>1168</v>
      </c>
      <c r="D47" s="10">
        <v>303445.38</v>
      </c>
      <c r="E47" s="11">
        <v>0.52</v>
      </c>
    </row>
    <row r="48" spans="1:5" ht="18" customHeight="1" x14ac:dyDescent="0.35">
      <c r="A48" s="2">
        <v>2018</v>
      </c>
      <c r="B48" s="18">
        <v>1</v>
      </c>
      <c r="C48" s="3">
        <v>1121</v>
      </c>
      <c r="D48" s="4">
        <v>271706.46000000002</v>
      </c>
      <c r="E48" s="5">
        <v>0.54</v>
      </c>
    </row>
    <row r="49" spans="1:5" ht="18" customHeight="1" x14ac:dyDescent="0.35">
      <c r="A49" s="8">
        <v>2018</v>
      </c>
      <c r="B49" s="19">
        <v>2</v>
      </c>
      <c r="C49" s="9">
        <v>1057</v>
      </c>
      <c r="D49" s="10">
        <v>281552.28000000003</v>
      </c>
      <c r="E49" s="11">
        <v>0.54</v>
      </c>
    </row>
    <row r="50" spans="1:5" ht="18" customHeight="1" x14ac:dyDescent="0.35">
      <c r="A50" s="2">
        <v>2018</v>
      </c>
      <c r="B50" s="18">
        <v>3</v>
      </c>
      <c r="C50" s="3">
        <v>1167</v>
      </c>
      <c r="D50" s="4">
        <v>281675.69</v>
      </c>
      <c r="E50" s="5">
        <v>0.55000000000000004</v>
      </c>
    </row>
    <row r="51" spans="1:5" ht="18" customHeight="1" x14ac:dyDescent="0.35">
      <c r="A51" s="8">
        <v>2018</v>
      </c>
      <c r="B51" s="19">
        <v>4</v>
      </c>
      <c r="C51" s="9">
        <v>1099</v>
      </c>
      <c r="D51" s="10">
        <v>267603.3</v>
      </c>
      <c r="E51" s="11">
        <v>0.56999999999999995</v>
      </c>
    </row>
    <row r="52" spans="1:5" ht="18" customHeight="1" x14ac:dyDescent="0.35">
      <c r="A52" s="2">
        <v>2018</v>
      </c>
      <c r="B52" s="18">
        <v>5</v>
      </c>
      <c r="C52" s="3">
        <v>1169</v>
      </c>
      <c r="D52" s="4">
        <v>304062.90999999997</v>
      </c>
      <c r="E52" s="5">
        <v>0.54</v>
      </c>
    </row>
    <row r="53" spans="1:5" ht="18" customHeight="1" x14ac:dyDescent="0.35">
      <c r="A53" s="8">
        <v>2018</v>
      </c>
      <c r="B53" s="19">
        <v>6</v>
      </c>
      <c r="C53" s="9">
        <v>1149</v>
      </c>
      <c r="D53" s="10">
        <v>259385.46</v>
      </c>
      <c r="E53" s="11">
        <v>0.56000000000000005</v>
      </c>
    </row>
    <row r="54" spans="1:5" ht="18" customHeight="1" x14ac:dyDescent="0.35">
      <c r="A54" s="2">
        <v>2018</v>
      </c>
      <c r="B54" s="18">
        <v>7</v>
      </c>
      <c r="C54" s="3">
        <v>1160</v>
      </c>
      <c r="D54" s="4">
        <v>281613.26</v>
      </c>
      <c r="E54" s="5">
        <v>0.55000000000000004</v>
      </c>
    </row>
    <row r="55" spans="1:5" ht="18" customHeight="1" x14ac:dyDescent="0.35">
      <c r="A55" s="8">
        <v>2018</v>
      </c>
      <c r="B55" s="19">
        <v>8</v>
      </c>
      <c r="C55" s="9">
        <v>1164</v>
      </c>
      <c r="D55" s="10">
        <v>304329.13</v>
      </c>
      <c r="E55" s="11">
        <v>0.53</v>
      </c>
    </row>
    <row r="56" spans="1:5" ht="18" customHeight="1" x14ac:dyDescent="0.35">
      <c r="A56" s="2">
        <v>2018</v>
      </c>
      <c r="B56" s="18">
        <v>9</v>
      </c>
      <c r="C56" s="3">
        <v>1117</v>
      </c>
      <c r="D56" s="4">
        <v>295414.8</v>
      </c>
      <c r="E56" s="5">
        <v>0.53</v>
      </c>
    </row>
    <row r="57" spans="1:5" ht="18" customHeight="1" x14ac:dyDescent="0.35">
      <c r="A57" s="8">
        <v>2018</v>
      </c>
      <c r="B57" s="19">
        <v>10</v>
      </c>
      <c r="C57" s="9">
        <v>1179</v>
      </c>
      <c r="D57" s="10">
        <v>274707.02</v>
      </c>
      <c r="E57" s="11">
        <v>0.54</v>
      </c>
    </row>
    <row r="58" spans="1:5" ht="18" customHeight="1" x14ac:dyDescent="0.35">
      <c r="A58" s="2">
        <v>2018</v>
      </c>
      <c r="B58" s="18">
        <v>11</v>
      </c>
      <c r="C58" s="3">
        <v>1101</v>
      </c>
      <c r="D58" s="4">
        <v>271568.34999999998</v>
      </c>
      <c r="E58" s="5">
        <v>0.55000000000000004</v>
      </c>
    </row>
    <row r="59" spans="1:5" ht="18" customHeight="1" x14ac:dyDescent="0.35">
      <c r="A59" s="8">
        <v>2018</v>
      </c>
      <c r="B59" s="19">
        <v>12</v>
      </c>
      <c r="C59" s="9">
        <v>1150</v>
      </c>
      <c r="D59" s="10">
        <v>262601.7</v>
      </c>
      <c r="E59" s="11">
        <v>0.55000000000000004</v>
      </c>
    </row>
  </sheetData>
  <mergeCells count="3">
    <mergeCell ref="A1:G1"/>
    <mergeCell ref="I1:N1"/>
    <mergeCell ref="A10:E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Ejecutivo</vt:lpstr>
      <vt:lpstr>Análisis Logística</vt:lpstr>
      <vt:lpstr>Tendencia Temporal</vt:lpstr>
      <vt:lpstr>DATOS_Olist_Mensual</vt:lpstr>
      <vt:lpstr>DATOS_Categorías</vt:lpstr>
      <vt:lpstr>DATOS_Logística</vt:lpstr>
      <vt:lpstr>DATOS_Pagos_Status</vt:lpstr>
      <vt:lpstr>DATOS_DataCo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Diego Soto</cp:lastModifiedBy>
  <cp:revision>1</cp:revision>
  <dcterms:created xsi:type="dcterms:W3CDTF">2026-03-18T15:34:07Z</dcterms:created>
  <dcterms:modified xsi:type="dcterms:W3CDTF">2026-03-23T15:38:53Z</dcterms:modified>
  <dc:language>en-US</dc:language>
</cp:coreProperties>
</file>